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cc95807274e419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turns" sheetId="1" r:id="R6f778385b4c54f59"/>
    <x:sheet xmlns:r="http://schemas.openxmlformats.org/officeDocument/2006/relationships" name="Assumptions" sheetId="2" r:id="Ra25dc4604c994521"/>
    <x:sheet xmlns:r="http://schemas.openxmlformats.org/officeDocument/2006/relationships" name="Rent Roll" sheetId="3" r:id="R876422119e26400c"/>
    <x:sheet xmlns:r="http://schemas.openxmlformats.org/officeDocument/2006/relationships" name="Operating Cash Flow" sheetId="4" r:id="R1a96851b507a4c1b"/>
    <x:sheet xmlns:r="http://schemas.openxmlformats.org/officeDocument/2006/relationships" name="Debt Schedule" sheetId="5" r:id="R70632b61b32c4cd7"/>
    <x:sheet xmlns:r="http://schemas.openxmlformats.org/officeDocument/2006/relationships" name="Sensitivities" sheetId="6" r:id="R7b1a67cc47584f92"/>
    <x:sheet xmlns:r="http://schemas.openxmlformats.org/officeDocument/2006/relationships" name="Scenarios" sheetId="7" r:id="R3146abfa27fb4913"/>
    <x:sheet xmlns:r="http://schemas.openxmlformats.org/officeDocument/2006/relationships" name="Checks" sheetId="8" r:id="R2c921df3d4194e54"/>
    <x:sheet xmlns:r="http://schemas.openxmlformats.org/officeDocument/2006/relationships" name="Source and NAV" sheetId="9" r:id="Rdcd83cf2db6d443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.00;(#,##0.00);&quot;-&quot;"/>
    <x:numFmt numFmtId="201" formatCode="0.0%"/>
    <x:numFmt numFmtId="202" formatCode="0"/>
    <x:numFmt numFmtId="203" formatCode="#,##0.00"/>
    <x:numFmt numFmtId="204" formatCode="0.00%"/>
  </x:numFmts>
  <x:fonts count="7">
    <x:font>
      <x:sz val="11"/>
      <x:name val="Carlito"/>
    </x:font>
    <x:font>
      <x:sz val="10"/>
      <x:name val="Arial"/>
    </x:font>
    <x:font>
      <x:b/>
      <x:sz val="15"/>
      <x:color rgb="FF20384D"/>
      <x:name val="Arial"/>
    </x:font>
    <x:font>
      <x:sz val="10"/>
      <x:color rgb="FF008040"/>
      <x:name val="Arial"/>
    </x:font>
    <x:font>
      <x:sz val="10"/>
      <x:color rgb="FF0000FF"/>
      <x:name val="Arial"/>
    </x:font>
    <x:font>
      <x:sz val="10"/>
      <x:color rgb="FF11182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FF3CD"/>
      </x:patternFill>
    </x:fill>
    <x:fill>
      <x:patternFill patternType="solid">
        <x:fgColor rgb="FF2038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1" fontId="4" fillId="2" borderId="0" xfId="0" applyNumberFormat="1" applyFont="1" applyFill="1" applyBorder="1"/>
    <x:xf numFmtId="201" fontId="1" fillId="0" borderId="0" xfId="0" applyNumberFormat="1" applyFont="1" applyFill="1" applyBorder="1"/>
    <x:xf numFmtId="201" fontId="3" fillId="0" borderId="0" xfId="0" applyNumberFormat="1" applyFont="1" applyFill="1" applyBorder="1"/>
    <x:xf numFmtId="200" fontId="5" fillId="0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200" fontId="3" fillId="0" borderId="0" xfId="0" applyNumberFormat="1" applyFont="1" applyFill="1" applyBorder="1"/>
    <x:xf numFmtId="0" fontId="6" fillId="3" borderId="0" xfId="0" applyNumberFormat="1" applyFont="1" applyFill="1" applyBorder="1" applyAlignment="1">
      <x:alignment wrapText="1"/>
    </x:xf>
    <x:xf numFmtId="200" fontId="6" fillId="3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201" fontId="5" fillId="0" borderId="0" xfId="0" applyNumberFormat="1" applyFont="1" applyFill="1" applyBorder="1"/>
    <x:xf numFmtId="202" fontId="1" fillId="0" borderId="0" xfId="0" applyNumberFormat="1" applyFont="1" applyFill="1" applyBorder="1"/>
    <x:xf numFmtId="202" fontId="6" fillId="3" borderId="0" xfId="0" applyNumberFormat="1" applyFont="1" applyFill="1" applyBorder="1" applyAlignment="1">
      <x:alignment wrapText="1"/>
    </x:xf>
    <x:xf numFmtId="202" fontId="6" fillId="3" borderId="0" xfId="0" applyNumberFormat="1" applyFont="1" applyFill="1" applyBorder="1"/>
    <x:xf numFmtId="202" fontId="4" fillId="2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203" fontId="4" fillId="2" borderId="0" xfId="0" applyNumberFormat="1" applyFont="1" applyFill="1" applyBorder="1"/>
    <x:xf numFmtId="203" fontId="1" fillId="0" borderId="0" xfId="0" applyNumberFormat="1" applyFont="1" applyFill="1" applyBorder="1"/>
    <x:xf numFmtId="203" fontId="5" fillId="0" borderId="0" xfId="0" applyNumberFormat="1" applyFont="1" applyFill="1" applyBorder="1"/>
    <x:xf numFmtId="204" fontId="5" fillId="0" borderId="0" xfId="0" applyNumberFormat="1" applyFont="1" applyFill="1" applyBorder="1"/>
    <x:xf numFmtId="204" fontId="4" fillId="2" borderId="0" xfId="0" applyNumberFormat="1" applyFont="1" applyFill="1" applyBorder="1"/>
    <x:xf numFmtId="200" fontId="3" fillId="2" borderId="0" xfId="0" applyNumberFormat="1" applyFont="1" applyFill="1" applyBorder="1"/>
  </x:cellXfs>
  <x:cellStyles count="1">
    <x:cellStyle name="Normal" xfId="0"/>
  </x:cellStyles>
  <x:dxfs count="2">
    <x:dxf>
      <x:font>
        <x:b/>
        <x:color rgb="FFB91C1C"/>
      </x:font>
      <x:fill>
        <x:patternFill patternType="solid">
          <x:bgColor rgb="FFFCE8E6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7dc0eed54b4179" /><Relationship Type="http://schemas.openxmlformats.org/officeDocument/2006/relationships/theme" Target="/xl/theme/theme1.xml" Id="R728c28e04b604231" /><Relationship Type="http://schemas.openxmlformats.org/officeDocument/2006/relationships/sharedStrings" Target="/xl/sharedStrings.xml" Id="R91708cecffe14768" /><Relationship Type="http://schemas.openxmlformats.org/officeDocument/2006/relationships/worksheet" Target="/xl/worksheets/sheet1.xml" Id="R6f778385b4c54f59" /><Relationship Type="http://schemas.openxmlformats.org/officeDocument/2006/relationships/worksheet" Target="/xl/worksheets/sheet2.xml" Id="Ra25dc4604c994521" /><Relationship Type="http://schemas.openxmlformats.org/officeDocument/2006/relationships/worksheet" Target="/xl/worksheets/sheet3.xml" Id="R876422119e26400c" /><Relationship Type="http://schemas.openxmlformats.org/officeDocument/2006/relationships/worksheet" Target="/xl/worksheets/sheet4.xml" Id="R1a96851b507a4c1b" /><Relationship Type="http://schemas.openxmlformats.org/officeDocument/2006/relationships/worksheet" Target="/xl/worksheets/sheet5.xml" Id="R70632b61b32c4cd7" /><Relationship Type="http://schemas.openxmlformats.org/officeDocument/2006/relationships/worksheet" Target="/xl/worksheets/sheet6.xml" Id="R7b1a67cc47584f92" /><Relationship Type="http://schemas.openxmlformats.org/officeDocument/2006/relationships/worksheet" Target="/xl/worksheets/sheet7.xml" Id="R3146abfa27fb4913" /><Relationship Type="http://schemas.openxmlformats.org/officeDocument/2006/relationships/worksheet" Target="/xl/worksheets/sheet8.xml" Id="R2c921df3d4194e54" /><Relationship Type="http://schemas.openxmlformats.org/officeDocument/2006/relationships/worksheet" Target="/xl/worksheets/sheet9.xml" Id="Rdcd83cf2db6d443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20384D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Returns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 t="str">
        <x:v>Manyata occupied-office proxy | assumed acquisition | INR crore | pre-tax</x:v>
      </x:c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1"/>
    </x:row>
    <x:row r="6" ht="22" customHeight="1">
      <x:c r="A6" s="1"/>
      <x:c r="B6" s="1"/>
      <x:c r="C6" s="1" t="str">
        <x:v>Levered IRR</x:v>
      </x:c>
      <x:c r="D6" s="20" t="n">
        <x:f>IF($D$12&lt;&gt;"READY","",IF(AND(MIN(D24:N24)&lt;0,MAX(D24:N24)&gt;0),IRR(D24:N24),"n.a."))</x:f>
        <x:v>0.07680534916625384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" t="str">
        <x:v>Unlevered IRR</x:v>
      </x:c>
      <x:c r="D7" s="20" t="n">
        <x:f>IF($D$12&lt;&gt;"READY","",IF(AND(MIN(D19:N19)&lt;0,MAX(D19:N19)&gt;0),IRR(D19:N19),"n.a."))</x:f>
        <x:v>0.07835385438905819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1"/>
    </x:row>
    <x:row r="8" ht="22" customHeight="1">
      <x:c r="A8" s="1"/>
      <x:c r="B8" s="1"/>
      <x:c r="C8" s="1" t="str">
        <x:v>Equity multiple</x:v>
      </x:c>
      <x:c r="D8" s="10" t="n">
        <x:f>IF($D$12&lt;&gt;"READY","",SUM(D25:N25)/SUM(D26:N26))</x:f>
        <x:v>1.967608905032845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1"/>
    </x:row>
    <x:row r="9" ht="22" customHeight="1">
      <x:c r="A9" s="1"/>
      <x:c r="B9" s="1"/>
      <x:c r="C9" s="1" t="str">
        <x:v>Minimum annual DSCR</x:v>
      </x:c>
      <x:c r="D9" s="10" t="n">
        <x:f>IF($D$12&lt;&gt;"READY","",IF(Assumptions!D23=0,"n.a.",MIN('Debt Schedule'!D12:M12)))</x:f>
        <x:v>1.4132828813440288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1"/>
    </x:row>
    <x:row r="10" ht="22" customHeight="1">
      <x:c r="A10" s="1"/>
      <x:c r="B10" s="1"/>
      <x:c r="C10" s="1" t="str">
        <x:v>Year-1 cash-on-cash</x:v>
      </x:c>
      <x:c r="D10" s="20" t="n">
        <x:f>IF($D$12&lt;&gt;"READY","",E27)</x:f>
        <x:v>0.024292287275393763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1"/>
    </x:row>
    <x:row r="11" ht="22" customHeight="1">
      <x:c r="A11" s="1"/>
      <x:c r="B11" s="1"/>
      <x:c r="C11" s="1" t="str">
        <x:v>Unlevered NPV</x:v>
      </x:c>
      <x:c r="D11" s="10" t="n">
        <x:f>IF($D$12&lt;&gt;"READY","",NPV(Assumptions!D20,E19:N19)+D19)</x:f>
        <x:v>-3594.655065271796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1"/>
    </x:row>
    <x:row r="12" ht="22" customHeight="1">
      <x:c r="A12" s="1"/>
      <x:c r="B12" s="1"/>
      <x:c r="C12" s="1" t="str">
        <x:v>Input status</x:v>
      </x:c>
      <x:c r="D12" s="10" t="str">
        <x:f>IF(AND(Assumptions!D8="READY",'Rent Roll'!D18="READY"),"READY","FILL INPUTS")</x:f>
        <x:v>READY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1"/>
    </x:row>
    <x:row r="13" ht="22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1"/>
    </x:row>
    <x:row r="14" ht="22" customHeight="1">
      <x:c r="A14" s="1"/>
      <x:c r="B14" s="1"/>
      <x:c r="C14" s="1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1"/>
    </x:row>
    <x:row r="15" ht="22" customHeight="1">
      <x:c r="A15" s="1"/>
      <x:c r="B15" s="1"/>
      <x:c r="C15" s="13"/>
      <x:c r="D15" s="14" t="n">
        <x:v>0</x:v>
      </x:c>
      <x:c r="E15" s="14" t="n">
        <x:v>1</x:v>
      </x:c>
      <x:c r="F15" s="14" t="n">
        <x:v>2</x:v>
      </x:c>
      <x:c r="G15" s="14" t="n">
        <x:v>3</x:v>
      </x:c>
      <x:c r="H15" s="14" t="n">
        <x:v>4</x:v>
      </x:c>
      <x:c r="I15" s="14" t="n">
        <x:v>5</x:v>
      </x:c>
      <x:c r="J15" s="14" t="n">
        <x:v>6</x:v>
      </x:c>
      <x:c r="K15" s="14" t="n">
        <x:v>7</x:v>
      </x:c>
      <x:c r="L15" s="14" t="n">
        <x:v>8</x:v>
      </x:c>
      <x:c r="M15" s="14" t="n">
        <x:v>9</x:v>
      </x:c>
      <x:c r="N15" s="14" t="n">
        <x:v>10</x:v>
      </x:c>
      <x:c r="O15" s="1"/>
    </x:row>
    <x:row r="16" ht="22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1"/>
    </x:row>
    <x:row r="17" ht="22" customHeight="1">
      <x:c r="A17" s="1"/>
      <x:c r="B17" s="1"/>
      <x:c r="C17" s="1" t="str">
        <x:v>Unlevered operating cash flow</x:v>
      </x:c>
      <x:c r="D17" s="10" t="n">
        <x:f>IF($D$12&lt;&gt;"READY","",0)</x:f>
        <x:v>0</x:v>
      </x:c>
      <x:c r="E17" s="15" t="n">
        <x:f>IF($D$12&lt;&gt;"READY","",'Operating Cash Flow'!D14)</x:f>
        <x:v>1356.0660000000003</x:v>
      </x:c>
      <x:c r="F17" s="15" t="n">
        <x:f>IF($D$12&lt;&gt;"READY","",'Operating Cash Flow'!E14)</x:f>
        <x:v>1396.74798</x:v>
      </x:c>
      <x:c r="G17" s="15" t="n">
        <x:f>IF($D$12&lt;&gt;"READY","",'Operating Cash Flow'!F14)</x:f>
        <x:v>1438.6504194000001</x:v>
      </x:c>
      <x:c r="H17" s="15" t="n">
        <x:f>IF($D$12&lt;&gt;"READY","",'Operating Cash Flow'!G14)</x:f>
        <x:v>1481.809931982</x:v>
      </x:c>
      <x:c r="I17" s="15" t="n">
        <x:f>IF($D$12&lt;&gt;"READY","",'Operating Cash Flow'!H14)</x:f>
        <x:v>1526.2642299414604</x:v>
      </x:c>
      <x:c r="J17" s="15" t="n">
        <x:f>IF($D$12&lt;&gt;"READY","",'Operating Cash Flow'!I14)</x:f>
        <x:v>1143.6060549612316</x:v>
      </x:c>
      <x:c r="K17" s="15" t="n">
        <x:f>IF($D$12&lt;&gt;"READY","",'Operating Cash Flow'!J14)</x:f>
        <x:v>1755.4015950359699</x:v>
      </x:c>
      <x:c r="L17" s="15" t="n">
        <x:f>IF($D$12&lt;&gt;"READY","",'Operating Cash Flow'!K14)</x:f>
        <x:v>1808.063642887049</x:v>
      </x:c>
      <x:c r="M17" s="15" t="n">
        <x:f>IF($D$12&lt;&gt;"READY","",'Operating Cash Flow'!L14)</x:f>
        <x:v>1862.3055521736605</x:v>
      </x:c>
      <x:c r="N17" s="15" t="n">
        <x:f>IF($D$12&lt;&gt;"READY","",'Operating Cash Flow'!M14)</x:f>
        <x:v>1918.1747187388703</x:v>
      </x:c>
      <x:c r="O17" s="1"/>
    </x:row>
    <x:row r="18" ht="22" customHeight="1">
      <x:c r="A18" s="1"/>
      <x:c r="B18" s="1"/>
      <x:c r="C18" s="1" t="str">
        <x:v>Net sale proceeds</x:v>
      </x:c>
      <x:c r="D18" s="10" t="n">
        <x:f>IF($D$12&lt;&gt;"READY","",0)</x:f>
        <x:v>0</x:v>
      </x:c>
      <x:c r="E18" s="10" t="n">
        <x:f>IF($D$12&lt;&gt;"READY","",0)</x:f>
        <x:v>0</x:v>
      </x:c>
      <x:c r="F18" s="10" t="n">
        <x:f>IF($D$12&lt;&gt;"READY","",0)</x:f>
        <x:v>0</x:v>
      </x:c>
      <x:c r="G18" s="10" t="n">
        <x:f>IF($D$12&lt;&gt;"READY","",0)</x:f>
        <x:v>0</x:v>
      </x:c>
      <x:c r="H18" s="10" t="n">
        <x:f>IF($D$12&lt;&gt;"READY","",0)</x:f>
        <x:v>0</x:v>
      </x:c>
      <x:c r="I18" s="10" t="n">
        <x:f>IF($D$12&lt;&gt;"READY","",0)</x:f>
        <x:v>0</x:v>
      </x:c>
      <x:c r="J18" s="10" t="n">
        <x:f>IF($D$12&lt;&gt;"READY","",0)</x:f>
        <x:v>0</x:v>
      </x:c>
      <x:c r="K18" s="10" t="n">
        <x:f>IF($D$12&lt;&gt;"READY","",0)</x:f>
        <x:v>0</x:v>
      </x:c>
      <x:c r="L18" s="10" t="n">
        <x:f>IF($D$12&lt;&gt;"READY","",0)</x:f>
        <x:v>0</x:v>
      </x:c>
      <x:c r="M18" s="10" t="n">
        <x:f>IF($D$12&lt;&gt;"READY","",0)</x:f>
        <x:v>0</x:v>
      </x:c>
      <x:c r="N18" s="15" t="n">
        <x:f>IF($D$12&lt;&gt;"READY","",'Operating Cash Flow'!N11/Assumptions!D22*(1-Assumptions!D14))</x:f>
        <x:v>30613.135216850696</x:v>
      </x:c>
      <x:c r="O18" s="1"/>
    </x:row>
    <x:row r="19" ht="22" customHeight="1">
      <x:c r="A19" s="1"/>
      <x:c r="B19" s="1"/>
      <x:c r="C19" s="1" t="str">
        <x:v>Unlevered total cash flow</x:v>
      </x:c>
      <x:c r="D19" s="15" t="n">
        <x:f>IF($D$12&lt;&gt;"READY","",-Assumptions!D10*(1+Assumptions!D11))</x:f>
        <x:v>-24744.282</x:v>
      </x:c>
      <x:c r="E19" s="10" t="n">
        <x:f>IF($D$12&lt;&gt;"READY","",E17+E18)</x:f>
        <x:v>1356.0660000000003</x:v>
      </x:c>
      <x:c r="F19" s="10" t="n">
        <x:f>IF($D$12&lt;&gt;"READY","",F17+F18)</x:f>
        <x:v>1396.74798</x:v>
      </x:c>
      <x:c r="G19" s="10" t="n">
        <x:f>IF($D$12&lt;&gt;"READY","",G17+G18)</x:f>
        <x:v>1438.6504194000001</x:v>
      </x:c>
      <x:c r="H19" s="10" t="n">
        <x:f>IF($D$12&lt;&gt;"READY","",H17+H18)</x:f>
        <x:v>1481.809931982</x:v>
      </x:c>
      <x:c r="I19" s="10" t="n">
        <x:f>IF($D$12&lt;&gt;"READY","",I17+I18)</x:f>
        <x:v>1526.2642299414604</x:v>
      </x:c>
      <x:c r="J19" s="10" t="n">
        <x:f>IF($D$12&lt;&gt;"READY","",J17+J18)</x:f>
        <x:v>1143.6060549612316</x:v>
      </x:c>
      <x:c r="K19" s="10" t="n">
        <x:f>IF($D$12&lt;&gt;"READY","",K17+K18)</x:f>
        <x:v>1755.4015950359699</x:v>
      </x:c>
      <x:c r="L19" s="10" t="n">
        <x:f>IF($D$12&lt;&gt;"READY","",L17+L18)</x:f>
        <x:v>1808.063642887049</x:v>
      </x:c>
      <x:c r="M19" s="10" t="n">
        <x:f>IF($D$12&lt;&gt;"READY","",M17+M18)</x:f>
        <x:v>1862.3055521736605</x:v>
      </x:c>
      <x:c r="N19" s="10" t="n">
        <x:f>IF($D$12&lt;&gt;"READY","",N17+N18)</x:f>
        <x:v>32531.30993558957</x:v>
      </x:c>
      <x:c r="O19" s="1"/>
    </x:row>
    <x:row r="20" ht="22" customHeight="1">
      <x:c r="A20" s="1"/>
      <x:c r="B20" s="1"/>
      <x:c r="C20" s="1" t="str">
        <x:v>Debt service</x:v>
      </x:c>
      <x:c r="D20" s="10" t="n">
        <x:f>IF($D$12&lt;&gt;"READY","",0)</x:f>
        <x:v>0</x:v>
      </x:c>
      <x:c r="E20" s="15" t="n">
        <x:f>IF($D$12&lt;&gt;"READY","",'Debt Schedule'!D9)</x:f>
        <x:v>988.3371676246772</x:v>
      </x:c>
      <x:c r="F20" s="15" t="n">
        <x:f>IF($D$12&lt;&gt;"READY","",'Debt Schedule'!E9)</x:f>
        <x:v>988.3371676246772</x:v>
      </x:c>
      <x:c r="G20" s="15" t="n">
        <x:f>IF($D$12&lt;&gt;"READY","",'Debt Schedule'!F9)</x:f>
        <x:v>988.3371676246772</x:v>
      </x:c>
      <x:c r="H20" s="15" t="n">
        <x:f>IF($D$12&lt;&gt;"READY","",'Debt Schedule'!G9)</x:f>
        <x:v>988.3371676246772</x:v>
      </x:c>
      <x:c r="I20" s="15" t="n">
        <x:f>IF($D$12&lt;&gt;"READY","",'Debt Schedule'!H9)</x:f>
        <x:v>988.3371676246772</x:v>
      </x:c>
      <x:c r="J20" s="15" t="n">
        <x:f>IF($D$12&lt;&gt;"READY","",'Debt Schedule'!I9)</x:f>
        <x:v>988.3371676246772</x:v>
      </x:c>
      <x:c r="K20" s="15" t="n">
        <x:f>IF($D$12&lt;&gt;"READY","",'Debt Schedule'!J9)</x:f>
        <x:v>988.3371676246772</x:v>
      </x:c>
      <x:c r="L20" s="15" t="n">
        <x:f>IF($D$12&lt;&gt;"READY","",'Debt Schedule'!K9)</x:f>
        <x:v>988.3371676246772</x:v>
      </x:c>
      <x:c r="M20" s="15" t="n">
        <x:f>IF($D$12&lt;&gt;"READY","",'Debt Schedule'!L9)</x:f>
        <x:v>988.3371676246772</x:v>
      </x:c>
      <x:c r="N20" s="15" t="n">
        <x:f>IF($D$12&lt;&gt;"READY","",'Debt Schedule'!M9)</x:f>
        <x:v>988.3371676246772</x:v>
      </x:c>
      <x:c r="O20" s="1"/>
    </x:row>
    <x:row r="21" ht="22" customHeight="1">
      <x:c r="A21" s="1"/>
      <x:c r="B21" s="1"/>
      <x:c r="C21" s="1" t="str">
        <x:v>Debt draw</x:v>
      </x:c>
      <x:c r="D21" s="15" t="n">
        <x:f>IF($D$12&lt;&gt;"READY","",Assumptions!D10*Assumptions!D23)</x:f>
        <x:v>9703.64</x:v>
      </x:c>
      <x:c r="E21" s="10" t="n">
        <x:f>IF($D$12&lt;&gt;"READY","",0)</x:f>
        <x:v>0</x:v>
      </x:c>
      <x:c r="F21" s="10" t="n">
        <x:f>IF($D$12&lt;&gt;"READY","",0)</x:f>
        <x:v>0</x:v>
      </x:c>
      <x:c r="G21" s="10" t="n">
        <x:f>IF($D$12&lt;&gt;"READY","",0)</x:f>
        <x:v>0</x:v>
      </x:c>
      <x:c r="H21" s="10" t="n">
        <x:f>IF($D$12&lt;&gt;"READY","",0)</x:f>
        <x:v>0</x:v>
      </x:c>
      <x:c r="I21" s="10" t="n">
        <x:f>IF($D$12&lt;&gt;"READY","",0)</x:f>
        <x:v>0</x:v>
      </x:c>
      <x:c r="J21" s="10" t="n">
        <x:f>IF($D$12&lt;&gt;"READY","",0)</x:f>
        <x:v>0</x:v>
      </x:c>
      <x:c r="K21" s="10" t="n">
        <x:f>IF($D$12&lt;&gt;"READY","",0)</x:f>
        <x:v>0</x:v>
      </x:c>
      <x:c r="L21" s="10" t="n">
        <x:f>IF($D$12&lt;&gt;"READY","",0)</x:f>
        <x:v>0</x:v>
      </x:c>
      <x:c r="M21" s="10" t="n">
        <x:f>IF($D$12&lt;&gt;"READY","",0)</x:f>
        <x:v>0</x:v>
      </x:c>
      <x:c r="N21" s="10" t="n">
        <x:f>IF($D$12&lt;&gt;"READY","",0)</x:f>
        <x:v>0</x:v>
      </x:c>
      <x:c r="O21" s="1"/>
    </x:row>
    <x:row r="22" ht="22" customHeight="1">
      <x:c r="A22" s="1"/>
      <x:c r="B22" s="1"/>
      <x:c r="C22" s="1" t="str">
        <x:v>Debt repayment on sale</x:v>
      </x:c>
      <x:c r="D22" s="10" t="n">
        <x:f>IF($D$12&lt;&gt;"READY","",0)</x:f>
        <x:v>0</x:v>
      </x:c>
      <x:c r="E22" s="10" t="n">
        <x:f>IF($D$12&lt;&gt;"READY","",0)</x:f>
        <x:v>0</x:v>
      </x:c>
      <x:c r="F22" s="10" t="n">
        <x:f>IF($D$12&lt;&gt;"READY","",0)</x:f>
        <x:v>0</x:v>
      </x:c>
      <x:c r="G22" s="10" t="n">
        <x:f>IF($D$12&lt;&gt;"READY","",0)</x:f>
        <x:v>0</x:v>
      </x:c>
      <x:c r="H22" s="10" t="n">
        <x:f>IF($D$12&lt;&gt;"READY","",0)</x:f>
        <x:v>0</x:v>
      </x:c>
      <x:c r="I22" s="10" t="n">
        <x:f>IF($D$12&lt;&gt;"READY","",0)</x:f>
        <x:v>0</x:v>
      </x:c>
      <x:c r="J22" s="10" t="n">
        <x:f>IF($D$12&lt;&gt;"READY","",0)</x:f>
        <x:v>0</x:v>
      </x:c>
      <x:c r="K22" s="10" t="n">
        <x:f>IF($D$12&lt;&gt;"READY","",0)</x:f>
        <x:v>0</x:v>
      </x:c>
      <x:c r="L22" s="10" t="n">
        <x:f>IF($D$12&lt;&gt;"READY","",0)</x:f>
        <x:v>0</x:v>
      </x:c>
      <x:c r="M22" s="10" t="n">
        <x:f>IF($D$12&lt;&gt;"READY","",0)</x:f>
        <x:v>0</x:v>
      </x:c>
      <x:c r="N22" s="15" t="n">
        <x:f>IF($D$12&lt;&gt;"READY","",'Debt Schedule'!M15)</x:f>
        <x:v>6631.822844360817</x:v>
      </x:c>
      <x:c r="O22" s="1"/>
    </x:row>
    <x:row r="23" ht="22" customHeight="1">
      <x:c r="A23" s="1"/>
      <x:c r="B23" s="1"/>
      <x:c r="C23" s="1" t="str">
        <x:v>Loan origination fee</x:v>
      </x:c>
      <x:c r="D23" s="15" t="n">
        <x:f>IF($D$12&lt;&gt;"READY","",D21*Assumptions!D12)</x:f>
        <x:v>97.0364</x:v>
      </x:c>
      <x:c r="E23" s="10" t="n">
        <x:f>IF($D$12&lt;&gt;"READY","",0)</x:f>
        <x:v>0</x:v>
      </x:c>
      <x:c r="F23" s="10" t="n">
        <x:f>IF($D$12&lt;&gt;"READY","",0)</x:f>
        <x:v>0</x:v>
      </x:c>
      <x:c r="G23" s="10" t="n">
        <x:f>IF($D$12&lt;&gt;"READY","",0)</x:f>
        <x:v>0</x:v>
      </x:c>
      <x:c r="H23" s="10" t="n">
        <x:f>IF($D$12&lt;&gt;"READY","",0)</x:f>
        <x:v>0</x:v>
      </x:c>
      <x:c r="I23" s="10" t="n">
        <x:f>IF($D$12&lt;&gt;"READY","",0)</x:f>
        <x:v>0</x:v>
      </x:c>
      <x:c r="J23" s="10" t="n">
        <x:f>IF($D$12&lt;&gt;"READY","",0)</x:f>
        <x:v>0</x:v>
      </x:c>
      <x:c r="K23" s="10" t="n">
        <x:f>IF($D$12&lt;&gt;"READY","",0)</x:f>
        <x:v>0</x:v>
      </x:c>
      <x:c r="L23" s="10" t="n">
        <x:f>IF($D$12&lt;&gt;"READY","",0)</x:f>
        <x:v>0</x:v>
      </x:c>
      <x:c r="M23" s="10" t="n">
        <x:f>IF($D$12&lt;&gt;"READY","",0)</x:f>
        <x:v>0</x:v>
      </x:c>
      <x:c r="N23" s="10" t="n">
        <x:f>IF($D$12&lt;&gt;"READY","",0)</x:f>
        <x:v>0</x:v>
      </x:c>
      <x:c r="O23" s="1"/>
    </x:row>
    <x:row r="24" ht="22" customHeight="1">
      <x:c r="A24" s="1"/>
      <x:c r="B24" s="1"/>
      <x:c r="C24" s="1" t="str">
        <x:v>Equity cash flow</x:v>
      </x:c>
      <x:c r="D24" s="10" t="n">
        <x:f>IF($D$12&lt;&gt;"READY","",D19+D21-D23)</x:f>
        <x:v>-15137.6784</x:v>
      </x:c>
      <x:c r="E24" s="10" t="n">
        <x:f>IF($D$12&lt;&gt;"READY","",E19-E20-E22)</x:f>
        <x:v>367.728832375323</x:v>
      </x:c>
      <x:c r="F24" s="10" t="n">
        <x:f>IF($D$12&lt;&gt;"READY","",F19-F20-F22)</x:f>
        <x:v>408.41081237532285</x:v>
      </x:c>
      <x:c r="G24" s="10" t="n">
        <x:f>IF($D$12&lt;&gt;"READY","",G19-G20-G22)</x:f>
        <x:v>450.3132517753229</x:v>
      </x:c>
      <x:c r="H24" s="10" t="n">
        <x:f>IF($D$12&lt;&gt;"READY","",H19-H20-H22)</x:f>
        <x:v>493.47276435732283</x:v>
      </x:c>
      <x:c r="I24" s="10" t="n">
        <x:f>IF($D$12&lt;&gt;"READY","",I19-I20-I22)</x:f>
        <x:v>537.9270623167831</x:v>
      </x:c>
      <x:c r="J24" s="10" t="n">
        <x:f>IF($D$12&lt;&gt;"READY","",J19-J20-J22)</x:f>
        <x:v>155.26888733655437</x:v>
      </x:c>
      <x:c r="K24" s="10" t="n">
        <x:f>IF($D$12&lt;&gt;"READY","",K19-K20-K22)</x:f>
        <x:v>767.0644274112926</x:v>
      </x:c>
      <x:c r="L24" s="10" t="n">
        <x:f>IF($D$12&lt;&gt;"READY","",L19-L20-L22)</x:f>
        <x:v>819.7264752623717</x:v>
      </x:c>
      <x:c r="M24" s="10" t="n">
        <x:f>IF($D$12&lt;&gt;"READY","",M19-M20-M22)</x:f>
        <x:v>873.9683845489833</x:v>
      </x:c>
      <x:c r="N24" s="10" t="n">
        <x:f>IF($D$12&lt;&gt;"READY","",N19-N20-N22)</x:f>
        <x:v>24911.149923604073</x:v>
      </x:c>
      <x:c r="O24" s="1"/>
    </x:row>
    <x:row r="25" ht="22" customHeight="1">
      <x:c r="A25" s="1"/>
      <x:c r="B25" s="1"/>
      <x:c r="C25" s="1" t="str">
        <x:v>Positive equity distributions</x:v>
      </x:c>
      <x:c r="D25" s="10" t="n">
        <x:f>IF($D$12&lt;&gt;"READY","",MAX(D24,0))</x:f>
        <x:v>0</x:v>
      </x:c>
      <x:c r="E25" s="10" t="n">
        <x:f>IF($D$12&lt;&gt;"READY","",MAX(E24,0))</x:f>
        <x:v>367.728832375323</x:v>
      </x:c>
      <x:c r="F25" s="10" t="n">
        <x:f>IF($D$12&lt;&gt;"READY","",MAX(F24,0))</x:f>
        <x:v>408.41081237532285</x:v>
      </x:c>
      <x:c r="G25" s="10" t="n">
        <x:f>IF($D$12&lt;&gt;"READY","",MAX(G24,0))</x:f>
        <x:v>450.3132517753229</x:v>
      </x:c>
      <x:c r="H25" s="10" t="n">
        <x:f>IF($D$12&lt;&gt;"READY","",MAX(H24,0))</x:f>
        <x:v>493.47276435732283</x:v>
      </x:c>
      <x:c r="I25" s="10" t="n">
        <x:f>IF($D$12&lt;&gt;"READY","",MAX(I24,0))</x:f>
        <x:v>537.9270623167831</x:v>
      </x:c>
      <x:c r="J25" s="10" t="n">
        <x:f>IF($D$12&lt;&gt;"READY","",MAX(J24,0))</x:f>
        <x:v>155.26888733655437</x:v>
      </x:c>
      <x:c r="K25" s="10" t="n">
        <x:f>IF($D$12&lt;&gt;"READY","",MAX(K24,0))</x:f>
        <x:v>767.0644274112926</x:v>
      </x:c>
      <x:c r="L25" s="10" t="n">
        <x:f>IF($D$12&lt;&gt;"READY","",MAX(L24,0))</x:f>
        <x:v>819.7264752623717</x:v>
      </x:c>
      <x:c r="M25" s="10" t="n">
        <x:f>IF($D$12&lt;&gt;"READY","",MAX(M24,0))</x:f>
        <x:v>873.9683845489833</x:v>
      </x:c>
      <x:c r="N25" s="10" t="n">
        <x:f>IF($D$12&lt;&gt;"READY","",MAX(N24,0))</x:f>
        <x:v>24911.149923604073</x:v>
      </x:c>
      <x:c r="O25" s="1"/>
    </x:row>
    <x:row r="26" ht="22" customHeight="1">
      <x:c r="A26" s="1"/>
      <x:c r="B26" s="1"/>
      <x:c r="C26" s="1" t="str">
        <x:v>Equity contributions</x:v>
      </x:c>
      <x:c r="D26" s="10" t="n">
        <x:f>IF($D$12&lt;&gt;"READY","",-MIN(D24,0))</x:f>
        <x:v>15137.6784</x:v>
      </x:c>
      <x:c r="E26" s="10" t="n">
        <x:f>IF($D$12&lt;&gt;"READY","",-MIN(E24,0))</x:f>
        <x:v>0</x:v>
      </x:c>
      <x:c r="F26" s="10" t="n">
        <x:f>IF($D$12&lt;&gt;"READY","",-MIN(F24,0))</x:f>
        <x:v>0</x:v>
      </x:c>
      <x:c r="G26" s="10" t="n">
        <x:f>IF($D$12&lt;&gt;"READY","",-MIN(G24,0))</x:f>
        <x:v>0</x:v>
      </x:c>
      <x:c r="H26" s="10" t="n">
        <x:f>IF($D$12&lt;&gt;"READY","",-MIN(H24,0))</x:f>
        <x:v>0</x:v>
      </x:c>
      <x:c r="I26" s="10" t="n">
        <x:f>IF($D$12&lt;&gt;"READY","",-MIN(I24,0))</x:f>
        <x:v>0</x:v>
      </x:c>
      <x:c r="J26" s="10" t="n">
        <x:f>IF($D$12&lt;&gt;"READY","",-MIN(J24,0))</x:f>
        <x:v>0</x:v>
      </x:c>
      <x:c r="K26" s="10" t="n">
        <x:f>IF($D$12&lt;&gt;"READY","",-MIN(K24,0))</x:f>
        <x:v>0</x:v>
      </x:c>
      <x:c r="L26" s="10" t="n">
        <x:f>IF($D$12&lt;&gt;"READY","",-MIN(L24,0))</x:f>
        <x:v>0</x:v>
      </x:c>
      <x:c r="M26" s="10" t="n">
        <x:f>IF($D$12&lt;&gt;"READY","",-MIN(M24,0))</x:f>
        <x:v>0</x:v>
      </x:c>
      <x:c r="N26" s="10" t="n">
        <x:f>IF($D$12&lt;&gt;"READY","",-MIN(N24,0))</x:f>
        <x:v>0</x:v>
      </x:c>
      <x:c r="O26" s="1"/>
    </x:row>
    <x:row r="27" ht="22" customHeight="1">
      <x:c r="A27" s="1"/>
      <x:c r="B27" s="1"/>
      <x:c r="C27" s="1" t="str">
        <x:v>Operating cash-on-cash</x:v>
      </x:c>
      <x:c r="D27" s="10" t="str">
        <x:f>IF($D$12&lt;&gt;"READY","","n.a.")</x:f>
        <x:v>n.a.</x:v>
      </x:c>
      <x:c r="E27" s="20" t="n">
        <x:f>IF($D$12&lt;&gt;"READY","",(E17-E20)/$D$26)</x:f>
        <x:v>0.024292287275393763</x:v>
      </x:c>
      <x:c r="F27" s="20" t="n">
        <x:f>IF($D$12&lt;&gt;"READY","",(F17-F20)/$D$26)</x:f>
        <x:v>0.02697975221717769</x:v>
      </x:c>
      <x:c r="G27" s="20" t="n">
        <x:f>IF($D$12&lt;&gt;"READY","",(G17-G20)/$D$26)</x:f>
        <x:v>0.02974784110721515</x:v>
      </x:c>
      <x:c r="H27" s="20" t="n">
        <x:f>IF($D$12&lt;&gt;"READY","",(H17-H20)/$D$26)</x:f>
        <x:v>0.03259897266395373</x:v>
      </x:c>
      <x:c r="I27" s="20" t="n">
        <x:f>IF($D$12&lt;&gt;"READY","",(I17-I20)/$D$26)</x:f>
        <x:v>0.03553563816739449</x:v>
      </x:c>
      <x:c r="J27" s="20" t="n">
        <x:f>IF($D$12&lt;&gt;"READY","",(J17-J20)/$D$26)</x:f>
        <x:v>0.010257113622955179</x:v>
      </x:c>
      <x:c r="K27" s="20" t="n">
        <x:f>IF($D$12&lt;&gt;"READY","",(K17-K20)/$D$26)</x:f>
        <x:v>0.05067252765861987</x:v>
      </x:c>
      <x:c r="L27" s="20" t="n">
        <x:f>IF($D$12&lt;&gt;"READY","",(L17-L20)/$D$26)</x:f>
        <x:v>0.05415139981190059</x:v>
      </x:c>
      <x:c r="M27" s="20" t="n">
        <x:f>IF($D$12&lt;&gt;"READY","",(M17-M20)/$D$26)</x:f>
        <x:v>0.05773463812977975</x:v>
      </x:c>
      <x:c r="N27" s="20" t="n">
        <x:f>IF($D$12&lt;&gt;"READY","",(N17-N20)/$D$26)</x:f>
        <x:v>0.061425373597195264</x:v>
      </x:c>
      <x:c r="O27" s="1"/>
    </x:row>
    <x:row r="28" ht="22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1"/>
    </x:row>
    <x:row r="29" ht="22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1"/>
    </x:row>
    <x:row r="30" ht="22" customHeight="1">
      <x:c r="A30" s="1"/>
      <x:c r="B30" s="1"/>
      <x:c r="C30" s="1" t="str">
        <x:v>Equity multiple includes all negative equity cash flows as contributions.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1"/>
    </x:row>
    <x:row r="31" ht="22" customHeight="1">
      <x:c r="A31" s="1"/>
      <x:c r="B31" s="1"/>
      <x:c r="C31" s="1" t="str">
        <x:v>Cash-on-cash excludes sale and uses initial equity; inspect later contributions separately.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 t="str">
        <x:v>IRR may have multiple roots if cash flows change sign more than once; review NPV and annual cash flows.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1"/>
    </x:row>
    <x:row r="35" ht="22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1"/>
    </x:row>
    <x:row r="36" ht="22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1"/>
    </x:row>
    <x:row r="37" ht="22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1"/>
    </x:row>
    <x:row r="38" ht="22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1"/>
    </x:row>
    <x:row r="39" ht="22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1"/>
    </x:row>
    <x:row r="40" ht="22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1"/>
    </x:row>
    <x:row r="41" ht="22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1"/>
    </x:row>
    <x:row r="42" ht="22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1"/>
    </x:row>
    <x:row r="43" ht="22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1"/>
    </x:row>
    <x:row r="44" ht="22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1"/>
    </x:row>
    <x:row r="45" ht="22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56738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5" hidden="0" customWidth="1"/>
    <x:col min="5" max="5" width="15" hidden="0" customWidth="1"/>
    <x:col min="6" max="6" width="6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Assumptions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 t="str">
        <x:v>Manyata completed-office teaching case. Every forecast and purchase term is an analyst assumption.</x:v>
      </x:c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1"/>
    </x:row>
    <x:row r="6" ht="22" customHeight="1">
      <x:c r="A6" s="1"/>
      <x:c r="B6" s="1"/>
      <x:c r="C6" s="1" t="str">
        <x:v>Case: 1 base / 2 upside / 3 downside</x:v>
      </x:c>
      <x:c r="D6" s="24" t="n">
        <x:v>1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1"/>
    </x:row>
    <x:row r="8" ht="22" customHeight="1">
      <x:c r="A8" s="1"/>
      <x:c r="B8" s="1"/>
      <x:c r="C8" s="1" t="str">
        <x:v>Input status</x:v>
      </x:c>
      <x:c r="D8" s="10" t="str">
        <x:f>IF(COUNT(D10:D25)&lt;&gt;16,"FILL INPUTS",IF(AND(D10&gt;0,D11&gt;=0,D12&gt;=0,D13&gt;=10,D14&gt;=0,D14&lt;1,D15&gt;=0,D16&gt;-1,D17&gt;=0,D18&gt;=0,D19&gt;=0,D20&gt;-1,D21&gt;-1,D22&gt;0,D23&gt;=0,D23&lt;1,D24&gt;=0,D25&gt;=0,D25&lt;1),"READY","INVALID INPUT"))</x:f>
        <x:v>READY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1"/>
    </x:row>
    <x:row r="9" ht="22" customHeight="1">
      <x:c r="A9" s="1"/>
      <x:c r="B9" s="1"/>
      <x:c r="C9" s="1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1"/>
    </x:row>
    <x:row r="10" ht="22" customHeight="1">
      <x:c r="A10" s="1"/>
      <x:c r="B10" s="1"/>
      <x:c r="C10" s="1" t="str">
        <x:v>Purchase price (INR crore)</x:v>
      </x:c>
      <x:c r="D10" s="32" t="n">
        <x:f>'Source and NAV'!C34/10</x:f>
        <x:v>24259.1</x:v>
      </x:c>
      <x:c r="E10" s="2"/>
      <x:c r="F10" s="2" t="str">
        <x:v>ASSUMPTION: entry equals March completed-office GAV; no transaction or asking price.</x:v>
      </x:c>
      <x:c r="G10" s="2"/>
      <x:c r="H10" s="2"/>
      <x:c r="I10" s="2"/>
      <x:c r="J10" s="2"/>
      <x:c r="K10" s="2"/>
      <x:c r="L10" s="2"/>
      <x:c r="M10" s="2"/>
      <x:c r="N10" s="2"/>
      <x:c r="O10" s="1"/>
    </x:row>
    <x:row r="11" ht="22" customHeight="1">
      <x:c r="A11" s="1"/>
      <x:c r="B11" s="1"/>
      <x:c r="C11" s="1" t="str">
        <x:v>Acquisition costs / price</x:v>
      </x:c>
      <x:c r="D11" s="7" t="n">
        <x:v>0.02</x:v>
      </x:c>
      <x:c r="E11" s="2"/>
      <x:c r="F11" s="2" t="str">
        <x:v>ASSUMPTION: 2% acquisition costs; not a legal stamp-duty calculation.</x:v>
      </x:c>
      <x:c r="G11" s="2"/>
      <x:c r="H11" s="2"/>
      <x:c r="I11" s="2"/>
      <x:c r="J11" s="2"/>
      <x:c r="K11" s="2"/>
      <x:c r="L11" s="2"/>
      <x:c r="M11" s="2"/>
      <x:c r="N11" s="2"/>
      <x:c r="O11" s="1"/>
    </x:row>
    <x:row r="12" ht="22" customHeight="1">
      <x:c r="A12" s="1"/>
      <x:c r="B12" s="1"/>
      <x:c r="C12" s="1" t="str">
        <x:v>Loan fee / initial debt</x:v>
      </x:c>
      <x:c r="D12" s="7" t="n">
        <x:v>0.01</x:v>
      </x:c>
      <x:c r="E12" s="2"/>
      <x:c r="F12" s="2" t="str">
        <x:v>ASSUMPTION: 1% loan fee; no lender quote.</x:v>
      </x:c>
      <x:c r="G12" s="2"/>
      <x:c r="H12" s="2"/>
      <x:c r="I12" s="2"/>
      <x:c r="J12" s="2"/>
      <x:c r="K12" s="2"/>
      <x:c r="L12" s="2"/>
      <x:c r="M12" s="2"/>
      <x:c r="N12" s="2"/>
      <x:c r="O12" s="1"/>
    </x:row>
    <x:row r="13" ht="22" customHeight="1">
      <x:c r="A13" s="1"/>
      <x:c r="B13" s="1"/>
      <x:c r="C13" s="1" t="str">
        <x:v>Amortization term (years; &gt;=10)</x:v>
      </x:c>
      <x:c r="D13" s="6" t="n">
        <x:v>20</x:v>
      </x:c>
      <x:c r="E13" s="2"/>
      <x:c r="F13" s="2" t="str">
        <x:v>ASSUMPTION: 20-year amortisation; no lender term sheet.</x:v>
      </x:c>
      <x:c r="G13" s="2"/>
      <x:c r="H13" s="2"/>
      <x:c r="I13" s="2"/>
      <x:c r="J13" s="2"/>
      <x:c r="K13" s="2"/>
      <x:c r="L13" s="2"/>
      <x:c r="M13" s="2"/>
      <x:c r="N13" s="2"/>
      <x:c r="O13" s="1"/>
    </x:row>
    <x:row r="14" ht="22" customHeight="1">
      <x:c r="A14" s="1"/>
      <x:c r="B14" s="1"/>
      <x:c r="C14" s="1" t="str">
        <x:v>Sale costs / gross value</x:v>
      </x:c>
      <x:c r="D14" s="7" t="n">
        <x:v>0.02</x:v>
      </x:c>
      <x:c r="E14" s="2"/>
      <x:c r="F14" s="2" t="str">
        <x:v>ASSUMPTION: 2% exit friction.</x:v>
      </x:c>
      <x:c r="G14" s="2"/>
      <x:c r="H14" s="2"/>
      <x:c r="I14" s="2"/>
      <x:c r="J14" s="2"/>
      <x:c r="K14" s="2"/>
      <x:c r="L14" s="2"/>
      <x:c r="M14" s="2"/>
      <x:c r="N14" s="2"/>
      <x:c r="O14" s="1"/>
    </x:row>
    <x:row r="15" ht="22" customHeight="1">
      <x:c r="A15" s="1"/>
      <x:c r="B15" s="1"/>
      <x:c r="C15" s="1" t="str">
        <x:v>Year-1 opex (INR / sqft / year)</x:v>
      </x:c>
      <x:c r="D15" s="32" t="n">
        <x:f>'Source and NAV'!C42</x:f>
        <x:v>147.2770658418029</x:v>
      </x:c>
      <x:c r="E15" s="2"/>
      <x:c r="F15" s="2" t="str">
        <x:v>DERIVED: net expense proxy, see Source and NAV C39:C42.</x:v>
      </x:c>
      <x:c r="G15" s="2"/>
      <x:c r="H15" s="2"/>
      <x:c r="I15" s="2"/>
      <x:c r="J15" s="2"/>
      <x:c r="K15" s="2"/>
      <x:c r="L15" s="2"/>
      <x:c r="M15" s="2"/>
      <x:c r="N15" s="2"/>
      <x:c r="O15" s="1"/>
    </x:row>
    <x:row r="16" ht="22" customHeight="1">
      <x:c r="A16" s="1"/>
      <x:c r="B16" s="1"/>
      <x:c r="C16" s="1" t="str">
        <x:v>Annual opex growth</x:v>
      </x:c>
      <x:c r="D16" s="7" t="n">
        <x:v>0.03</x:v>
      </x:c>
      <x:c r="E16" s="2"/>
      <x:c r="F16" s="2" t="str">
        <x:v>ASSUMPTION: 3% annual net-expense growth.</x:v>
      </x:c>
      <x:c r="G16" s="2"/>
      <x:c r="H16" s="2"/>
      <x:c r="I16" s="2"/>
      <x:c r="J16" s="2"/>
      <x:c r="K16" s="2"/>
      <x:c r="L16" s="2"/>
      <x:c r="M16" s="2"/>
      <x:c r="N16" s="2"/>
      <x:c r="O16" s="1"/>
    </x:row>
    <x:row r="17" ht="22" customHeight="1">
      <x:c r="A17" s="1"/>
      <x:c r="B17" s="1"/>
      <x:c r="C17" s="1" t="str">
        <x:v>Year-1 reserve (INR / sqft / year)</x:v>
      </x:c>
      <x:c r="D17" s="6" t="n">
        <x:v>30</x:v>
      </x:c>
      <x:c r="E17" s="2"/>
      <x:c r="F17" s="2" t="str">
        <x:v>ASSUMPTION: INR30 / occupied sqft annual capex reserve.</x:v>
      </x:c>
      <x:c r="G17" s="2"/>
      <x:c r="H17" s="2"/>
      <x:c r="I17" s="2"/>
      <x:c r="J17" s="2"/>
      <x:c r="K17" s="2"/>
      <x:c r="L17" s="2"/>
      <x:c r="M17" s="2"/>
      <x:c r="N17" s="2"/>
      <x:c r="O17" s="1"/>
    </x:row>
    <x:row r="18" ht="22" customHeight="1">
      <x:c r="A18" s="1"/>
      <x:c r="B18" s="1"/>
      <x:c r="C18" s="1" t="str">
        <x:v>Reletting TI (INR / sqft)</x:v>
      </x:c>
      <x:c r="D18" s="6" t="n">
        <x:v>500</x:v>
      </x:c>
      <x:c r="E18" s="2"/>
      <x:c r="F18" s="2" t="str">
        <x:v>ASSUMPTION: INR500 TI / nonrenewing sqft.</x:v>
      </x:c>
      <x:c r="G18" s="2"/>
      <x:c r="H18" s="2"/>
      <x:c r="I18" s="2"/>
      <x:c r="J18" s="2"/>
      <x:c r="K18" s="2"/>
      <x:c r="L18" s="2"/>
      <x:c r="M18" s="2"/>
      <x:c r="N18" s="2"/>
      <x:c r="O18" s="1"/>
    </x:row>
    <x:row r="19" ht="22" customHeight="1">
      <x:c r="A19" s="1"/>
      <x:c r="B19" s="1"/>
      <x:c r="C19" s="1" t="str">
        <x:v>Leasing fee / new annual rent</x:v>
      </x:c>
      <x:c r="D19" s="7" t="n">
        <x:v>0.1</x:v>
      </x:c>
      <x:c r="E19" s="2"/>
      <x:c r="F19" s="2" t="str">
        <x:v>ASSUMPTION: 10% of new annual rent as leasing fee.</x:v>
      </x:c>
      <x:c r="G19" s="2"/>
      <x:c r="H19" s="2"/>
      <x:c r="I19" s="2"/>
      <x:c r="J19" s="2"/>
      <x:c r="K19" s="2"/>
      <x:c r="L19" s="2"/>
      <x:c r="M19" s="2"/>
      <x:c r="N19" s="2"/>
      <x:c r="O19" s="1"/>
    </x:row>
    <x:row r="20" ht="22" customHeight="1">
      <x:c r="A20" s="1"/>
      <x:c r="B20" s="1"/>
      <x:c r="C20" s="1" t="str">
        <x:v>Unlevered discount rate</x:v>
      </x:c>
      <x:c r="D20" s="7" t="n">
        <x:v>0.1</x:v>
      </x:c>
      <x:c r="E20" s="2"/>
      <x:c r="F20" s="2" t="str">
        <x:v>ASSUMPTION: 10% unlevered required return.</x:v>
      </x:c>
      <x:c r="G20" s="2"/>
      <x:c r="H20" s="2"/>
      <x:c r="I20" s="2"/>
      <x:c r="J20" s="2"/>
      <x:c r="K20" s="2"/>
      <x:c r="L20" s="2"/>
      <x:c r="M20" s="2"/>
      <x:c r="N20" s="2"/>
      <x:c r="O20" s="1"/>
    </x:row>
    <x:row r="21" ht="22" customHeight="1">
      <x:c r="A21" s="1"/>
      <x:c r="B21" s="1"/>
      <x:c r="C21" s="1" t="str">
        <x:v>Annual market rent growth</x:v>
      </x:c>
      <x:c r="D21" s="9" t="n">
        <x:f>IF(ISNUMBER(Sensitivities!D6),Sensitivities!D6,"")</x:f>
        <x:v>0.03</x:v>
      </x:c>
      <x:c r="E21" s="2"/>
      <x:c r="F21" s="2" t="str">
        <x:v>ASSUMPTION: scenario driver; see Scenarios.</x:v>
      </x:c>
      <x:c r="G21" s="2"/>
      <x:c r="H21" s="2"/>
      <x:c r="I21" s="2"/>
      <x:c r="J21" s="2"/>
      <x:c r="K21" s="2"/>
      <x:c r="L21" s="2"/>
      <x:c r="M21" s="2"/>
      <x:c r="N21" s="2"/>
      <x:c r="O21" s="1"/>
    </x:row>
    <x:row r="22" ht="22" customHeight="1">
      <x:c r="A22" s="1"/>
      <x:c r="B22" s="1"/>
      <x:c r="C22" s="1" t="str">
        <x:v>Exit capitalization rate</x:v>
      </x:c>
      <x:c r="D22" s="9" t="n">
        <x:f>IF(ISNUMBER(Sensitivities!D7),Sensitivities!D7,"")</x:f>
        <x:v>0.065</x:v>
      </x:c>
      <x:c r="E22" s="2"/>
      <x:c r="F22" s="2" t="str">
        <x:v>ASSUMPTION: scenario driver; see Scenarios.</x:v>
      </x:c>
      <x:c r="G22" s="2"/>
      <x:c r="H22" s="2"/>
      <x:c r="I22" s="2"/>
      <x:c r="J22" s="2"/>
      <x:c r="K22" s="2"/>
      <x:c r="L22" s="2"/>
      <x:c r="M22" s="2"/>
      <x:c r="N22" s="2"/>
      <x:c r="O22" s="1"/>
    </x:row>
    <x:row r="23" ht="22" customHeight="1">
      <x:c r="A23" s="1"/>
      <x:c r="B23" s="1"/>
      <x:c r="C23" s="1" t="str">
        <x:v>Initial loan / purchase price</x:v>
      </x:c>
      <x:c r="D23" s="9" t="n">
        <x:f>IF(ISNUMBER(Sensitivities!D8),Sensitivities!D8,"")</x:f>
        <x:v>0.4</x:v>
      </x:c>
      <x:c r="E23" s="2"/>
      <x:c r="F23" s="2" t="str">
        <x:v>ASSUMPTION: scenario driver; see Scenarios.</x:v>
      </x:c>
      <x:c r="G23" s="2"/>
      <x:c r="H23" s="2"/>
      <x:c r="I23" s="2"/>
      <x:c r="J23" s="2"/>
      <x:c r="K23" s="2"/>
      <x:c r="L23" s="2"/>
      <x:c r="M23" s="2"/>
      <x:c r="N23" s="2"/>
      <x:c r="O23" s="1"/>
    </x:row>
    <x:row r="24" ht="22" customHeight="1">
      <x:c r="A24" s="1"/>
      <x:c r="B24" s="1"/>
      <x:c r="C24" s="1" t="str">
        <x:v>Annual debt interest rate</x:v>
      </x:c>
      <x:c r="D24" s="9" t="n">
        <x:f>IF(ISNUMBER(Sensitivities!D9),Sensitivities!D9,"")</x:f>
        <x:v>0.08</x:v>
      </x:c>
      <x:c r="E24" s="2"/>
      <x:c r="F24" s="2" t="str">
        <x:v>ASSUMPTION: scenario driver; see Scenarios.</x:v>
      </x:c>
      <x:c r="G24" s="2"/>
      <x:c r="H24" s="2"/>
      <x:c r="I24" s="2"/>
      <x:c r="J24" s="2"/>
      <x:c r="K24" s="2"/>
      <x:c r="L24" s="2"/>
      <x:c r="M24" s="2"/>
      <x:c r="N24" s="2"/>
      <x:c r="O24" s="1"/>
    </x:row>
    <x:row r="25" ht="22" customHeight="1">
      <x:c r="A25" s="1"/>
      <x:c r="B25" s="1"/>
      <x:c r="C25" s="1" t="str">
        <x:v>Collection loss / gross rent</x:v>
      </x:c>
      <x:c r="D25" s="9" t="n">
        <x:f>IF(ISNUMBER(CHOOSE(D6,Scenarios!D10,Scenarios!E10,Scenarios!F10)),CHOOSE(D6,Scenarios!D10,Scenarios!E10,Scenarios!F10),"")</x:f>
        <x:v>0</x:v>
      </x:c>
      <x:c r="E25" s="2"/>
      <x:c r="F25" s="2" t="str">
        <x:v>ASSUMPTION: scenario driver; see Scenarios.</x:v>
      </x:c>
      <x:c r="G25" s="2"/>
      <x:c r="H25" s="2"/>
      <x:c r="I25" s="2"/>
      <x:c r="J25" s="2"/>
      <x:c r="K25" s="2"/>
      <x:c r="L25" s="2"/>
      <x:c r="M25" s="2"/>
      <x:c r="N25" s="2"/>
      <x:c r="O25" s="1"/>
    </x:row>
    <x:row r="26" ht="22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1"/>
    </x:row>
    <x:row r="27" ht="22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1"/>
    </x:row>
    <x:row r="28" ht="22" customHeight="1">
      <x:c r="A28" s="1"/>
      <x:c r="B28" s="1"/>
      <x:c r="C28" s="1" t="str">
        <x:v>Model assumptions: annual year-end cash flows; 10-year hold; year 11 supplies forward NOI.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1"/>
    </x:row>
    <x:row r="29" ht="22" customHeight="1">
      <x:c r="A29" s="1"/>
      <x:c r="B29" s="1"/>
      <x:c r="C29" s="1" t="str">
        <x:v>Annual debt payments, fixed interest, amortization &gt;=10 years; balloon repaid on sale.</x:v>
      </x:c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1"/>
    </x:row>
    <x:row r="30" ht="22" customHeight="1">
      <x:c r="A30" s="1"/>
      <x:c r="B30" s="1"/>
      <x:c r="C30" s="1" t="str">
        <x:v>Pre-tax property cash flow. No income tax, GST, depreciation, refinancing or fund fees.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1"/>
    </x:row>
    <x:row r="31" ht="22" customHeight="1">
      <x:c r="A31" s="1"/>
      <x:c r="B31" s="1"/>
      <x:c r="C31" s="1" t="str">
        <x:v>One rollover per cohort; replacement lease assumed to extend beyond year 11.</x:v>
      </x:c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 t="str">
        <x:v>Renewals reset to market rent; downtime and TI apply only to nonrenewing area.</x:v>
      </x:c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 t="str">
        <x:v>Only occupied office area modelled; vacant area held without incremental lease-up benefit.</x:v>
      </x:c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 t="str">
        <x:v>Net expense proxy includes revenue/rent differences. It is not reported gross opex.</x:v>
      </x:c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1"/>
    </x:row>
    <x:row r="35" ht="22" customHeight="1">
      <x:c r="A35" s="1"/>
      <x:c r="B35" s="1"/>
      <x:c r="C35" s="1" t="str">
        <x:v>Initial vacancy can be a cohort with expiry year 0 and renewal probability 0.</x:v>
      </x:c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1"/>
    </x:row>
    <x:row r="36" ht="22" customHeight="1">
      <x:c r="A36" s="1"/>
      <x:c r="B36" s="1"/>
      <x:c r="C36" s="1" t="str">
        <x:v>Do not enter confidential tenant data. Use published cohorts or explicitly labelled assumptions.</x:v>
      </x:c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1"/>
    </x:row>
    <x:row r="37" ht="22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1"/>
    </x:row>
    <x:row r="38" ht="22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1"/>
    </x:row>
    <x:row r="39" ht="22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1"/>
    </x:row>
    <x:row r="40" ht="22" customHeight="1">
      <x:c r="A40" s="1"/>
      <x:c r="B40" s="1"/>
      <x:c r="C40" s="1" t="str">
        <x:v>Verified source register: see Source and NAV; other links below are research leads only.</x:v>
      </x:c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1"/>
    </x:row>
    <x:row r="41" ht="22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1"/>
    </x:row>
    <x:row r="42" ht="22" customHeight="1">
      <x:c r="A42" s="1"/>
      <x:c r="B42" s="1"/>
      <x:c r="C42" s="1" t="str">
        <x:v>Embassy REIT filings</x:v>
      </x:c>
      <x:c r="D42" s="2"/>
      <x:c r="E42" s="2"/>
      <x:c r="F42" s="2" t="str">
        <x:v>https://www.embassyofficeparks.com/investors/regulatory-filings/</x:v>
      </x:c>
      <x:c r="G42" s="2"/>
      <x:c r="H42" s="2"/>
      <x:c r="I42" s="2"/>
      <x:c r="J42" s="2"/>
      <x:c r="K42" s="2"/>
      <x:c r="L42" s="2"/>
      <x:c r="M42" s="2"/>
      <x:c r="N42" s="2"/>
      <x:c r="O42" s="1"/>
    </x:row>
    <x:row r="43" ht="22" customHeight="1">
      <x:c r="A43" s="1"/>
      <x:c r="B43" s="1"/>
      <x:c r="C43" s="1" t="str">
        <x:v>Embassy REIT financial reports</x:v>
      </x:c>
      <x:c r="D43" s="2"/>
      <x:c r="E43" s="2"/>
      <x:c r="F43" s="2" t="str">
        <x:v>https://www.embassyofficeparks.com/investors/results-publications/</x:v>
      </x:c>
      <x:c r="G43" s="2"/>
      <x:c r="H43" s="2"/>
      <x:c r="I43" s="2"/>
      <x:c r="J43" s="2"/>
      <x:c r="K43" s="2"/>
      <x:c r="L43" s="2"/>
      <x:c r="M43" s="2"/>
      <x:c r="N43" s="2"/>
      <x:c r="O43" s="1"/>
    </x:row>
    <x:row r="44" ht="22" customHeight="1">
      <x:c r="A44" s="1"/>
      <x:c r="B44" s="1"/>
      <x:c r="C44" s="1" t="str">
        <x:v>Knight Frank research</x:v>
      </x:c>
      <x:c r="D44" s="2"/>
      <x:c r="E44" s="2"/>
      <x:c r="F44" s="2" t="str">
        <x:v>https://www.knightfrank.co.in/research</x:v>
      </x:c>
      <x:c r="G44" s="2"/>
      <x:c r="H44" s="2"/>
      <x:c r="I44" s="2"/>
      <x:c r="J44" s="2"/>
      <x:c r="K44" s="2"/>
      <x:c r="L44" s="2"/>
      <x:c r="M44" s="2"/>
      <x:c r="N44" s="2"/>
      <x:c r="O44" s="1"/>
    </x:row>
    <x:row r="45" ht="22" customHeight="1">
      <x:c r="A45" s="1"/>
      <x:c r="B45" s="1"/>
      <x:c r="C45" s="1" t="str">
        <x:v>RBI data portal (manual access needed)</x:v>
      </x:c>
      <x:c r="D45" s="2"/>
      <x:c r="E45" s="2"/>
      <x:c r="F45" s="2" t="str">
        <x:v>https://statistics.rbi.org.in/</x:v>
      </x:c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 t="str">
        <x:v>CCIL indicative yields (restricted commercial use)</x:v>
      </x:c>
      <x:c r="D46" s="2"/>
      <x:c r="E46" s="2"/>
      <x:c r="F46" s="2" t="str">
        <x:v>https://www.ccilindia.com/web/ccil/tenorwise-indicative-yields</x:v>
      </x:c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 t="str">
        <x:v>For each input record: document title, URL, page/table, observation date, access date, units and transformation.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dataValidations count="1">
    <x:dataValidation type="whole" operator="between" sqref="D6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Rent Roll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5" customHeight="1">
      <x:c r="A5" s="1"/>
      <x:c r="B5" s="1"/>
      <x:c r="C5" s="16" t="str">
        <x:v>Cohort</x:v>
      </x:c>
      <x:c r="D5" s="22" t="str">
        <x:v>Area sqft</x:v>
      </x:c>
      <x:c r="E5" s="22" t="str">
        <x:v>Contract rent /mo</x:v>
      </x:c>
      <x:c r="F5" s="22" t="str">
        <x:v>Market rent /mo</x:v>
      </x:c>
      <x:c r="G5" s="22" t="str">
        <x:v>Annual escalation</x:v>
      </x:c>
      <x:c r="H5" s="22" t="str">
        <x:v>Expiry year 0-10</x:v>
      </x:c>
      <x:c r="I5" s="22" t="str">
        <x:v>Renewal probability</x:v>
      </x:c>
      <x:c r="J5" s="22" t="str">
        <x:v>Downtime months</x:v>
      </x:c>
      <x:c r="K5" s="22" t="str">
        <x:v>Status</x:v>
      </x:c>
      <x:c r="L5" s="22" t="str">
        <x:v>Source / page</x:v>
      </x:c>
      <x:c r="M5" s="22" t="str">
        <x:v>Access date</x:v>
      </x:c>
      <x:c r="N5" s="21"/>
      <x:c r="O5" s="1"/>
    </x:row>
    <x:row r="6" ht="22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9" t="str">
        <x:v>Occupied office proxy</x:v>
      </x:c>
      <x:c r="D7" s="32" t="n">
        <x:f>'Source and NAV'!C36</x:f>
        <x:v>13578000</x:v>
      </x:c>
      <x:c r="E7" s="32" t="n">
        <x:f>'Source and NAV'!C30</x:f>
        <x:v>98</x:v>
      </x:c>
      <x:c r="F7" s="32" t="n">
        <x:f>'Source and NAV'!C31</x:f>
        <x:v>105</x:v>
      </x:c>
      <x:c r="G7" s="7" t="n">
        <x:v>0.03</x:v>
      </x:c>
      <x:c r="H7" s="6" t="n">
        <x:v>5</x:v>
      </x:c>
      <x:c r="I7" s="7" t="n">
        <x:v>0.7</x:v>
      </x:c>
      <x:c r="J7" s="6" t="n">
        <x:v>6</x:v>
      </x:c>
      <x:c r="K7" s="10" t="str">
        <x:f>IF(COUNTA(C7:J7)=0,"UNUSED",IF(COUNT(D7:J7)&lt;&gt;7,"FILL",IF(AND(D7&gt;0,E7&gt;=0,F7&gt;=0,G7&gt;-1,H7&gt;=0,H7&lt;=10,H7=INT(H7),I7&gt;=0,I7&lt;=1,J7&gt;=0,J7&lt;=12),"READY","INVALID")))</x:f>
        <x:v>READY</x:v>
      </x:c>
      <x:c r="L7" s="2" t="str">
        <x:v>Q1 p58; G:J analyst assumptions</x:v>
      </x:c>
      <x:c r="M7" s="2" t="str">
        <x:v>2026-10-22</x:v>
      </x:c>
      <x:c r="N7" s="2"/>
      <x:c r="O7" s="1"/>
    </x:row>
    <x:row r="8" ht="22" customHeight="1">
      <x:c r="A8" s="1"/>
      <x:c r="B8" s="1"/>
      <x:c r="C8" s="19"/>
      <x:c r="D8" s="6"/>
      <x:c r="E8" s="6"/>
      <x:c r="F8" s="6"/>
      <x:c r="G8" s="7"/>
      <x:c r="H8" s="6"/>
      <x:c r="I8" s="7"/>
      <x:c r="J8" s="6"/>
      <x:c r="K8" s="10" t="str">
        <x:f>IF(COUNTA(C8:J8)=0,"UNUSED",IF(COUNT(D8:J8)&lt;&gt;7,"FILL",IF(AND(D8&gt;0,E8&gt;=0,F8&gt;=0,G8&gt;-1,H8&gt;=0,H8&lt;=10,H8=INT(H8),I8&gt;=0,I8&lt;=1,J8&gt;=0,J8&lt;=12),"READY","INVALID")))</x:f>
        <x:v>UNUSED</x:v>
      </x:c>
      <x:c r="L8" s="2"/>
      <x:c r="M8" s="2"/>
      <x:c r="N8" s="2"/>
      <x:c r="O8" s="1"/>
    </x:row>
    <x:row r="9" ht="22" customHeight="1">
      <x:c r="A9" s="1"/>
      <x:c r="B9" s="1"/>
      <x:c r="C9" s="19"/>
      <x:c r="D9" s="6"/>
      <x:c r="E9" s="6"/>
      <x:c r="F9" s="6"/>
      <x:c r="G9" s="7"/>
      <x:c r="H9" s="6"/>
      <x:c r="I9" s="7"/>
      <x:c r="J9" s="6"/>
      <x:c r="K9" s="10" t="str">
        <x:f>IF(COUNTA(C9:J9)=0,"UNUSED",IF(COUNT(D9:J9)&lt;&gt;7,"FILL",IF(AND(D9&gt;0,E9&gt;=0,F9&gt;=0,G9&gt;-1,H9&gt;=0,H9&lt;=10,H9=INT(H9),I9&gt;=0,I9&lt;=1,J9&gt;=0,J9&lt;=12),"READY","INVALID")))</x:f>
        <x:v>UNUSED</x:v>
      </x:c>
      <x:c r="L9" s="2"/>
      <x:c r="M9" s="2"/>
      <x:c r="N9" s="2"/>
      <x:c r="O9" s="1"/>
    </x:row>
    <x:row r="10" ht="22" customHeight="1">
      <x:c r="A10" s="1"/>
      <x:c r="B10" s="1"/>
      <x:c r="C10" s="19"/>
      <x:c r="D10" s="6"/>
      <x:c r="E10" s="6"/>
      <x:c r="F10" s="6"/>
      <x:c r="G10" s="7"/>
      <x:c r="H10" s="6"/>
      <x:c r="I10" s="7"/>
      <x:c r="J10" s="6"/>
      <x:c r="K10" s="10" t="str">
        <x:f>IF(COUNTA(C10:J10)=0,"UNUSED",IF(COUNT(D10:J10)&lt;&gt;7,"FILL",IF(AND(D10&gt;0,E10&gt;=0,F10&gt;=0,G10&gt;-1,H10&gt;=0,H10&lt;=10,H10=INT(H10),I10&gt;=0,I10&lt;=1,J10&gt;=0,J10&lt;=12),"READY","INVALID")))</x:f>
        <x:v>UNUSED</x:v>
      </x:c>
      <x:c r="L10" s="2"/>
      <x:c r="M10" s="2"/>
      <x:c r="N10" s="2"/>
      <x:c r="O10" s="1"/>
    </x:row>
    <x:row r="11" ht="22" customHeight="1">
      <x:c r="A11" s="1"/>
      <x:c r="B11" s="1"/>
      <x:c r="C11" s="19"/>
      <x:c r="D11" s="6"/>
      <x:c r="E11" s="6"/>
      <x:c r="F11" s="6"/>
      <x:c r="G11" s="7"/>
      <x:c r="H11" s="6"/>
      <x:c r="I11" s="7"/>
      <x:c r="J11" s="6"/>
      <x:c r="K11" s="10" t="str">
        <x:f>IF(COUNTA(C11:J11)=0,"UNUSED",IF(COUNT(D11:J11)&lt;&gt;7,"FILL",IF(AND(D11&gt;0,E11&gt;=0,F11&gt;=0,G11&gt;-1,H11&gt;=0,H11&lt;=10,H11=INT(H11),I11&gt;=0,I11&lt;=1,J11&gt;=0,J11&lt;=12),"READY","INVALID")))</x:f>
        <x:v>UNUSED</x:v>
      </x:c>
      <x:c r="L11" s="2"/>
      <x:c r="M11" s="2"/>
      <x:c r="N11" s="2"/>
      <x:c r="O11" s="1"/>
    </x:row>
    <x:row r="12" ht="22" customHeight="1">
      <x:c r="A12" s="1"/>
      <x:c r="B12" s="1"/>
      <x:c r="C12" s="19"/>
      <x:c r="D12" s="6"/>
      <x:c r="E12" s="6"/>
      <x:c r="F12" s="6"/>
      <x:c r="G12" s="7"/>
      <x:c r="H12" s="6"/>
      <x:c r="I12" s="7"/>
      <x:c r="J12" s="6"/>
      <x:c r="K12" s="10" t="str">
        <x:f>IF(COUNTA(C12:J12)=0,"UNUSED",IF(COUNT(D12:J12)&lt;&gt;7,"FILL",IF(AND(D12&gt;0,E12&gt;=0,F12&gt;=0,G12&gt;-1,H12&gt;=0,H12&lt;=10,H12=INT(H12),I12&gt;=0,I12&lt;=1,J12&gt;=0,J12&lt;=12),"READY","INVALID")))</x:f>
        <x:v>UNUSED</x:v>
      </x:c>
      <x:c r="L12" s="2"/>
      <x:c r="M12" s="2"/>
      <x:c r="N12" s="2"/>
      <x:c r="O12" s="1"/>
    </x:row>
    <x:row r="13" ht="22" customHeight="1">
      <x:c r="A13" s="1"/>
      <x:c r="B13" s="1"/>
      <x:c r="C13" s="19"/>
      <x:c r="D13" s="6"/>
      <x:c r="E13" s="6"/>
      <x:c r="F13" s="6"/>
      <x:c r="G13" s="7"/>
      <x:c r="H13" s="6"/>
      <x:c r="I13" s="7"/>
      <x:c r="J13" s="6"/>
      <x:c r="K13" s="10" t="str">
        <x:f>IF(COUNTA(C13:J13)=0,"UNUSED",IF(COUNT(D13:J13)&lt;&gt;7,"FILL",IF(AND(D13&gt;0,E13&gt;=0,F13&gt;=0,G13&gt;-1,H13&gt;=0,H13&lt;=10,H13=INT(H13),I13&gt;=0,I13&lt;=1,J13&gt;=0,J13&lt;=12),"READY","INVALID")))</x:f>
        <x:v>UNUSED</x:v>
      </x:c>
      <x:c r="L13" s="2"/>
      <x:c r="M13" s="2"/>
      <x:c r="N13" s="2"/>
      <x:c r="O13" s="1"/>
    </x:row>
    <x:row r="14" ht="22" customHeight="1">
      <x:c r="A14" s="1"/>
      <x:c r="B14" s="1"/>
      <x:c r="C14" s="19"/>
      <x:c r="D14" s="6"/>
      <x:c r="E14" s="6"/>
      <x:c r="F14" s="6"/>
      <x:c r="G14" s="7"/>
      <x:c r="H14" s="6"/>
      <x:c r="I14" s="7"/>
      <x:c r="J14" s="6"/>
      <x:c r="K14" s="10" t="str">
        <x:f>IF(COUNTA(C14:J14)=0,"UNUSED",IF(COUNT(D14:J14)&lt;&gt;7,"FILL",IF(AND(D14&gt;0,E14&gt;=0,F14&gt;=0,G14&gt;-1,H14&gt;=0,H14&lt;=10,H14=INT(H14),I14&gt;=0,I14&lt;=1,J14&gt;=0,J14&lt;=12),"READY","INVALID")))</x:f>
        <x:v>UNUSED</x:v>
      </x:c>
      <x:c r="L14" s="2"/>
      <x:c r="M14" s="2"/>
      <x:c r="N14" s="2"/>
      <x:c r="O14" s="1"/>
    </x:row>
    <x:row r="15" ht="22" customHeight="1">
      <x:c r="A15" s="1"/>
      <x:c r="B15" s="1"/>
      <x:c r="C15" s="19"/>
      <x:c r="D15" s="6"/>
      <x:c r="E15" s="6"/>
      <x:c r="F15" s="6"/>
      <x:c r="G15" s="7"/>
      <x:c r="H15" s="6"/>
      <x:c r="I15" s="7"/>
      <x:c r="J15" s="6"/>
      <x:c r="K15" s="10" t="str">
        <x:f>IF(COUNTA(C15:J15)=0,"UNUSED",IF(COUNT(D15:J15)&lt;&gt;7,"FILL",IF(AND(D15&gt;0,E15&gt;=0,F15&gt;=0,G15&gt;-1,H15&gt;=0,H15&lt;=10,H15=INT(H15),I15&gt;=0,I15&lt;=1,J15&gt;=0,J15&lt;=12),"READY","INVALID")))</x:f>
        <x:v>UNUSED</x:v>
      </x:c>
      <x:c r="L15" s="2"/>
      <x:c r="M15" s="2"/>
      <x:c r="N15" s="2"/>
      <x:c r="O15" s="1"/>
    </x:row>
    <x:row r="16" ht="22" customHeight="1">
      <x:c r="A16" s="1"/>
      <x:c r="B16" s="1"/>
      <x:c r="C16" s="19"/>
      <x:c r="D16" s="6"/>
      <x:c r="E16" s="6"/>
      <x:c r="F16" s="6"/>
      <x:c r="G16" s="7"/>
      <x:c r="H16" s="6"/>
      <x:c r="I16" s="7"/>
      <x:c r="J16" s="6"/>
      <x:c r="K16" s="10" t="str">
        <x:f>IF(COUNTA(C16:J16)=0,"UNUSED",IF(COUNT(D16:J16)&lt;&gt;7,"FILL",IF(AND(D16&gt;0,E16&gt;=0,F16&gt;=0,G16&gt;-1,H16&gt;=0,H16&lt;=10,H16=INT(H16),I16&gt;=0,I16&lt;=1,J16&gt;=0,J16&lt;=12),"READY","INVALID")))</x:f>
        <x:v>UNUSED</x:v>
      </x:c>
      <x:c r="L16" s="2"/>
      <x:c r="M16" s="2"/>
      <x:c r="N16" s="2"/>
      <x:c r="O16" s="1"/>
    </x:row>
    <x:row r="17" ht="22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1"/>
    </x:row>
    <x:row r="18" ht="22" customHeight="1">
      <x:c r="A18" s="1"/>
      <x:c r="B18" s="1"/>
      <x:c r="C18" s="1" t="str">
        <x:v>Cohort status</x:v>
      </x:c>
      <x:c r="D18" s="10" t="str">
        <x:f>IF(AND(COUNTIFS(K7:K16,"READY")&gt;0,COUNTIFS(K7:K16,"FILL")=0,COUNTIFS(K7:K16,"INVALID")=0),"READY","FILL RENT ROLL")</x:f>
        <x:v>READY</x:v>
      </x:c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1"/>
    </x:row>
    <x:row r="19" ht="22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1"/>
    </x:row>
    <x:row r="20" ht="22" customHeight="1">
      <x:c r="A20" s="1"/>
      <x:c r="B20" s="1"/>
      <x:c r="C20" s="1"/>
      <x:c r="D20" s="2" t="n">
        <x:v>1</x:v>
      </x:c>
      <x:c r="E20" s="2" t="n">
        <x:v>2</x:v>
      </x:c>
      <x:c r="F20" s="2" t="n">
        <x:v>3</x:v>
      </x:c>
      <x:c r="G20" s="2" t="n">
        <x:v>4</x:v>
      </x:c>
      <x:c r="H20" s="2" t="n">
        <x:v>5</x:v>
      </x:c>
      <x:c r="I20" s="2" t="n">
        <x:v>6</x:v>
      </x:c>
      <x:c r="J20" s="2" t="n">
        <x:v>7</x:v>
      </x:c>
      <x:c r="K20" s="2" t="n">
        <x:v>8</x:v>
      </x:c>
      <x:c r="L20" s="2" t="n">
        <x:v>9</x:v>
      </x:c>
      <x:c r="M20" s="2" t="n">
        <x:v>10</x:v>
      </x:c>
      <x:c r="N20" s="2" t="n">
        <x:v>11</x:v>
      </x:c>
      <x:c r="O20" s="1"/>
    </x:row>
    <x:row r="21" ht="22" customHeight="1">
      <x:c r="A21" s="1"/>
      <x:c r="B21" s="1"/>
      <x:c r="C21" s="1" t="str">
        <x:v>Cohort 1 rent</x:v>
      </x:c>
      <x:c r="D21" s="15" t="n">
        <x:f>IF(OR($D$18&lt;&gt;"READY",Assumptions!$D$8&lt;&gt;"READY"),"",IF($K7="UNUSED",0,$D7*12/10000000*IF(D$20&lt;=$H7,$E7*(1+$G7)^(D$20-1),$F7*(1+Assumptions!$D$21)^(D$20-1)*IF(D$20=$H7+1,$I7+(1-$I7)*(1-$J7/12),1))))</x:f>
        <x:v>1596.7728000000002</x:v>
      </x:c>
      <x:c r="E21" s="15" t="n">
        <x:f>IF(OR($D$18&lt;&gt;"READY",Assumptions!$D$8&lt;&gt;"READY"),"",IF($K7="UNUSED",0,$D7*12/10000000*IF(E$20&lt;=$H7,$E7*(1+$G7)^(E$20-1),$F7*(1+Assumptions!$D$21)^(E$20-1)*IF(E$20=$H7+1,$I7+(1-$I7)*(1-$J7/12),1))))</x:f>
        <x:v>1644.6759840000002</x:v>
      </x:c>
      <x:c r="F21" s="15" t="n">
        <x:f>IF(OR($D$18&lt;&gt;"READY",Assumptions!$D$8&lt;&gt;"READY"),"",IF($K7="UNUSED",0,$D7*12/10000000*IF(F$20&lt;=$H7,$E7*(1+$G7)^(F$20-1),$F7*(1+Assumptions!$D$21)^(F$20-1)*IF(F$20=$H7+1,$I7+(1-$I7)*(1-$J7/12),1))))</x:f>
        <x:v>1694.0162635200002</x:v>
      </x:c>
      <x:c r="G21" s="15" t="n">
        <x:f>IF(OR($D$18&lt;&gt;"READY",Assumptions!$D$8&lt;&gt;"READY"),"",IF($K7="UNUSED",0,$D7*12/10000000*IF(G$20&lt;=$H7,$E7*(1+$G7)^(G$20-1),$F7*(1+Assumptions!$D$21)^(G$20-1)*IF(G$20=$H7+1,$I7+(1-$I7)*(1-$J7/12),1))))</x:f>
        <x:v>1744.8367514256001</x:v>
      </x:c>
      <x:c r="H21" s="15" t="n">
        <x:f>IF(OR($D$18&lt;&gt;"READY",Assumptions!$D$8&lt;&gt;"READY"),"",IF($K7="UNUSED",0,$D7*12/10000000*IF(H$20&lt;=$H7,$E7*(1+$G7)^(H$20-1),$F7*(1+Assumptions!$D$21)^(H$20-1)*IF(H$20=$H7+1,$I7+(1-$I7)*(1-$J7/12),1))))</x:f>
        <x:v>1797.1818539683684</x:v>
      </x:c>
      <x:c r="I21" s="15" t="n">
        <x:f>IF(OR($D$18&lt;&gt;"READY",Assumptions!$D$8&lt;&gt;"READY"),"",IF($K7="UNUSED",0,$D7*12/10000000*IF(I$20&lt;=$H7,$E7*(1+$G7)^(I$20-1),$F7*(1+Assumptions!$D$21)^(I$20-1)*IF(I$20=$H7+1,$I7+(1-$I7)*(1-$J7/12),1))))</x:f>
        <x:v>1685.8207640885425</x:v>
      </x:c>
      <x:c r="J21" s="15" t="n">
        <x:f>IF(OR($D$18&lt;&gt;"READY",Assumptions!$D$8&lt;&gt;"READY"),"",IF($K7="UNUSED",0,$D7*12/10000000*IF(J$20&lt;=$H7,$E7*(1+$G7)^(J$20-1),$F7*(1+Assumptions!$D$21)^(J$20-1)*IF(J$20=$H7+1,$I7+(1-$I7)*(1-$J7/12),1))))</x:f>
        <x:v>2042.8181023661166</x:v>
      </x:c>
      <x:c r="K21" s="15" t="n">
        <x:f>IF(OR($D$18&lt;&gt;"READY",Assumptions!$D$8&lt;&gt;"READY"),"",IF($K7="UNUSED",0,$D7*12/10000000*IF(K$20&lt;=$H7,$E7*(1+$G7)^(K$20-1),$F7*(1+Assumptions!$D$21)^(K$20-1)*IF(K$20=$H7+1,$I7+(1-$I7)*(1-$J7/12),1))))</x:f>
        <x:v>2104.1026454371</x:v>
      </x:c>
      <x:c r="L21" s="15" t="n">
        <x:f>IF(OR($D$18&lt;&gt;"READY",Assumptions!$D$8&lt;&gt;"READY"),"",IF($K7="UNUSED",0,$D7*12/10000000*IF(L$20&lt;=$H7,$E7*(1+$G7)^(L$20-1),$F7*(1+Assumptions!$D$21)^(L$20-1)*IF(L$20=$H7+1,$I7+(1-$I7)*(1-$J7/12),1))))</x:f>
        <x:v>2167.2257248002134</x:v>
      </x:c>
      <x:c r="M21" s="15" t="n">
        <x:f>IF(OR($D$18&lt;&gt;"READY",Assumptions!$D$8&lt;&gt;"READY"),"",IF($K7="UNUSED",0,$D7*12/10000000*IF(M$20&lt;=$H7,$E7*(1+$G7)^(M$20-1),$F7*(1+Assumptions!$D$21)^(M$20-1)*IF(M$20=$H7+1,$I7+(1-$I7)*(1-$J7/12),1))))</x:f>
        <x:v>2232.2424965442196</x:v>
      </x:c>
      <x:c r="N21" s="15" t="n">
        <x:f>IF(OR($D$18&lt;&gt;"READY",Assumptions!$D$8&lt;&gt;"READY"),"",IF($K7="UNUSED",0,$D7*12/10000000*IF(N$20&lt;=$H7,$E7*(1+$G7)^(N$20-1),$F7*(1+Assumptions!$D$21)^(N$20-1)*IF(N$20=$H7+1,$I7+(1-$I7)*(1-$J7/12),1))))</x:f>
        <x:v>2299.2097714405463</x:v>
      </x:c>
      <x:c r="O21" s="1"/>
    </x:row>
    <x:row r="22" ht="22" customHeight="1">
      <x:c r="A22" s="1"/>
      <x:c r="B22" s="1"/>
      <x:c r="C22" s="1" t="str">
        <x:v>Cohort 2 rent</x:v>
      </x:c>
      <x:c r="D22" s="15" t="n">
        <x:f>IF(OR($D$18&lt;&gt;"READY",Assumptions!$D$8&lt;&gt;"READY"),"",IF($K8="UNUSED",0,$D8*12/10000000*IF(D$20&lt;=$H8,$E8*(1+$G8)^(D$20-1),$F8*(1+Assumptions!$D$21)^(D$20-1)*IF(D$20=$H8+1,$I8+(1-$I8)*(1-$J8/12),1))))</x:f>
        <x:v>0</x:v>
      </x:c>
      <x:c r="E22" s="15" t="n">
        <x:f>IF(OR($D$18&lt;&gt;"READY",Assumptions!$D$8&lt;&gt;"READY"),"",IF($K8="UNUSED",0,$D8*12/10000000*IF(E$20&lt;=$H8,$E8*(1+$G8)^(E$20-1),$F8*(1+Assumptions!$D$21)^(E$20-1)*IF(E$20=$H8+1,$I8+(1-$I8)*(1-$J8/12),1))))</x:f>
        <x:v>0</x:v>
      </x:c>
      <x:c r="F22" s="15" t="n">
        <x:f>IF(OR($D$18&lt;&gt;"READY",Assumptions!$D$8&lt;&gt;"READY"),"",IF($K8="UNUSED",0,$D8*12/10000000*IF(F$20&lt;=$H8,$E8*(1+$G8)^(F$20-1),$F8*(1+Assumptions!$D$21)^(F$20-1)*IF(F$20=$H8+1,$I8+(1-$I8)*(1-$J8/12),1))))</x:f>
        <x:v>0</x:v>
      </x:c>
      <x:c r="G22" s="15" t="n">
        <x:f>IF(OR($D$18&lt;&gt;"READY",Assumptions!$D$8&lt;&gt;"READY"),"",IF($K8="UNUSED",0,$D8*12/10000000*IF(G$20&lt;=$H8,$E8*(1+$G8)^(G$20-1),$F8*(1+Assumptions!$D$21)^(G$20-1)*IF(G$20=$H8+1,$I8+(1-$I8)*(1-$J8/12),1))))</x:f>
        <x:v>0</x:v>
      </x:c>
      <x:c r="H22" s="15" t="n">
        <x:f>IF(OR($D$18&lt;&gt;"READY",Assumptions!$D$8&lt;&gt;"READY"),"",IF($K8="UNUSED",0,$D8*12/10000000*IF(H$20&lt;=$H8,$E8*(1+$G8)^(H$20-1),$F8*(1+Assumptions!$D$21)^(H$20-1)*IF(H$20=$H8+1,$I8+(1-$I8)*(1-$J8/12),1))))</x:f>
        <x:v>0</x:v>
      </x:c>
      <x:c r="I22" s="15" t="n">
        <x:f>IF(OR($D$18&lt;&gt;"READY",Assumptions!$D$8&lt;&gt;"READY"),"",IF($K8="UNUSED",0,$D8*12/10000000*IF(I$20&lt;=$H8,$E8*(1+$G8)^(I$20-1),$F8*(1+Assumptions!$D$21)^(I$20-1)*IF(I$20=$H8+1,$I8+(1-$I8)*(1-$J8/12),1))))</x:f>
        <x:v>0</x:v>
      </x:c>
      <x:c r="J22" s="15" t="n">
        <x:f>IF(OR($D$18&lt;&gt;"READY",Assumptions!$D$8&lt;&gt;"READY"),"",IF($K8="UNUSED",0,$D8*12/10000000*IF(J$20&lt;=$H8,$E8*(1+$G8)^(J$20-1),$F8*(1+Assumptions!$D$21)^(J$20-1)*IF(J$20=$H8+1,$I8+(1-$I8)*(1-$J8/12),1))))</x:f>
        <x:v>0</x:v>
      </x:c>
      <x:c r="K22" s="15" t="n">
        <x:f>IF(OR($D$18&lt;&gt;"READY",Assumptions!$D$8&lt;&gt;"READY"),"",IF($K8="UNUSED",0,$D8*12/10000000*IF(K$20&lt;=$H8,$E8*(1+$G8)^(K$20-1),$F8*(1+Assumptions!$D$21)^(K$20-1)*IF(K$20=$H8+1,$I8+(1-$I8)*(1-$J8/12),1))))</x:f>
        <x:v>0</x:v>
      </x:c>
      <x:c r="L22" s="15" t="n">
        <x:f>IF(OR($D$18&lt;&gt;"READY",Assumptions!$D$8&lt;&gt;"READY"),"",IF($K8="UNUSED",0,$D8*12/10000000*IF(L$20&lt;=$H8,$E8*(1+$G8)^(L$20-1),$F8*(1+Assumptions!$D$21)^(L$20-1)*IF(L$20=$H8+1,$I8+(1-$I8)*(1-$J8/12),1))))</x:f>
        <x:v>0</x:v>
      </x:c>
      <x:c r="M22" s="15" t="n">
        <x:f>IF(OR($D$18&lt;&gt;"READY",Assumptions!$D$8&lt;&gt;"READY"),"",IF($K8="UNUSED",0,$D8*12/10000000*IF(M$20&lt;=$H8,$E8*(1+$G8)^(M$20-1),$F8*(1+Assumptions!$D$21)^(M$20-1)*IF(M$20=$H8+1,$I8+(1-$I8)*(1-$J8/12),1))))</x:f>
        <x:v>0</x:v>
      </x:c>
      <x:c r="N22" s="15" t="n">
        <x:f>IF(OR($D$18&lt;&gt;"READY",Assumptions!$D$8&lt;&gt;"READY"),"",IF($K8="UNUSED",0,$D8*12/10000000*IF(N$20&lt;=$H8,$E8*(1+$G8)^(N$20-1),$F8*(1+Assumptions!$D$21)^(N$20-1)*IF(N$20=$H8+1,$I8+(1-$I8)*(1-$J8/12),1))))</x:f>
        <x:v>0</x:v>
      </x:c>
      <x:c r="O22" s="1"/>
    </x:row>
    <x:row r="23" ht="22" customHeight="1">
      <x:c r="A23" s="1"/>
      <x:c r="B23" s="1"/>
      <x:c r="C23" s="1" t="str">
        <x:v>Cohort 3 rent</x:v>
      </x:c>
      <x:c r="D23" s="15" t="n">
        <x:f>IF(OR($D$18&lt;&gt;"READY",Assumptions!$D$8&lt;&gt;"READY"),"",IF($K9="UNUSED",0,$D9*12/10000000*IF(D$20&lt;=$H9,$E9*(1+$G9)^(D$20-1),$F9*(1+Assumptions!$D$21)^(D$20-1)*IF(D$20=$H9+1,$I9+(1-$I9)*(1-$J9/12),1))))</x:f>
        <x:v>0</x:v>
      </x:c>
      <x:c r="E23" s="15" t="n">
        <x:f>IF(OR($D$18&lt;&gt;"READY",Assumptions!$D$8&lt;&gt;"READY"),"",IF($K9="UNUSED",0,$D9*12/10000000*IF(E$20&lt;=$H9,$E9*(1+$G9)^(E$20-1),$F9*(1+Assumptions!$D$21)^(E$20-1)*IF(E$20=$H9+1,$I9+(1-$I9)*(1-$J9/12),1))))</x:f>
        <x:v>0</x:v>
      </x:c>
      <x:c r="F23" s="15" t="n">
        <x:f>IF(OR($D$18&lt;&gt;"READY",Assumptions!$D$8&lt;&gt;"READY"),"",IF($K9="UNUSED",0,$D9*12/10000000*IF(F$20&lt;=$H9,$E9*(1+$G9)^(F$20-1),$F9*(1+Assumptions!$D$21)^(F$20-1)*IF(F$20=$H9+1,$I9+(1-$I9)*(1-$J9/12),1))))</x:f>
        <x:v>0</x:v>
      </x:c>
      <x:c r="G23" s="15" t="n">
        <x:f>IF(OR($D$18&lt;&gt;"READY",Assumptions!$D$8&lt;&gt;"READY"),"",IF($K9="UNUSED",0,$D9*12/10000000*IF(G$20&lt;=$H9,$E9*(1+$G9)^(G$20-1),$F9*(1+Assumptions!$D$21)^(G$20-1)*IF(G$20=$H9+1,$I9+(1-$I9)*(1-$J9/12),1))))</x:f>
        <x:v>0</x:v>
      </x:c>
      <x:c r="H23" s="15" t="n">
        <x:f>IF(OR($D$18&lt;&gt;"READY",Assumptions!$D$8&lt;&gt;"READY"),"",IF($K9="UNUSED",0,$D9*12/10000000*IF(H$20&lt;=$H9,$E9*(1+$G9)^(H$20-1),$F9*(1+Assumptions!$D$21)^(H$20-1)*IF(H$20=$H9+1,$I9+(1-$I9)*(1-$J9/12),1))))</x:f>
        <x:v>0</x:v>
      </x:c>
      <x:c r="I23" s="15" t="n">
        <x:f>IF(OR($D$18&lt;&gt;"READY",Assumptions!$D$8&lt;&gt;"READY"),"",IF($K9="UNUSED",0,$D9*12/10000000*IF(I$20&lt;=$H9,$E9*(1+$G9)^(I$20-1),$F9*(1+Assumptions!$D$21)^(I$20-1)*IF(I$20=$H9+1,$I9+(1-$I9)*(1-$J9/12),1))))</x:f>
        <x:v>0</x:v>
      </x:c>
      <x:c r="J23" s="15" t="n">
        <x:f>IF(OR($D$18&lt;&gt;"READY",Assumptions!$D$8&lt;&gt;"READY"),"",IF($K9="UNUSED",0,$D9*12/10000000*IF(J$20&lt;=$H9,$E9*(1+$G9)^(J$20-1),$F9*(1+Assumptions!$D$21)^(J$20-1)*IF(J$20=$H9+1,$I9+(1-$I9)*(1-$J9/12),1))))</x:f>
        <x:v>0</x:v>
      </x:c>
      <x:c r="K23" s="15" t="n">
        <x:f>IF(OR($D$18&lt;&gt;"READY",Assumptions!$D$8&lt;&gt;"READY"),"",IF($K9="UNUSED",0,$D9*12/10000000*IF(K$20&lt;=$H9,$E9*(1+$G9)^(K$20-1),$F9*(1+Assumptions!$D$21)^(K$20-1)*IF(K$20=$H9+1,$I9+(1-$I9)*(1-$J9/12),1))))</x:f>
        <x:v>0</x:v>
      </x:c>
      <x:c r="L23" s="15" t="n">
        <x:f>IF(OR($D$18&lt;&gt;"READY",Assumptions!$D$8&lt;&gt;"READY"),"",IF($K9="UNUSED",0,$D9*12/10000000*IF(L$20&lt;=$H9,$E9*(1+$G9)^(L$20-1),$F9*(1+Assumptions!$D$21)^(L$20-1)*IF(L$20=$H9+1,$I9+(1-$I9)*(1-$J9/12),1))))</x:f>
        <x:v>0</x:v>
      </x:c>
      <x:c r="M23" s="15" t="n">
        <x:f>IF(OR($D$18&lt;&gt;"READY",Assumptions!$D$8&lt;&gt;"READY"),"",IF($K9="UNUSED",0,$D9*12/10000000*IF(M$20&lt;=$H9,$E9*(1+$G9)^(M$20-1),$F9*(1+Assumptions!$D$21)^(M$20-1)*IF(M$20=$H9+1,$I9+(1-$I9)*(1-$J9/12),1))))</x:f>
        <x:v>0</x:v>
      </x:c>
      <x:c r="N23" s="15" t="n">
        <x:f>IF(OR($D$18&lt;&gt;"READY",Assumptions!$D$8&lt;&gt;"READY"),"",IF($K9="UNUSED",0,$D9*12/10000000*IF(N$20&lt;=$H9,$E9*(1+$G9)^(N$20-1),$F9*(1+Assumptions!$D$21)^(N$20-1)*IF(N$20=$H9+1,$I9+(1-$I9)*(1-$J9/12),1))))</x:f>
        <x:v>0</x:v>
      </x:c>
      <x:c r="O23" s="1"/>
    </x:row>
    <x:row r="24" ht="22" customHeight="1">
      <x:c r="A24" s="1"/>
      <x:c r="B24" s="1"/>
      <x:c r="C24" s="1" t="str">
        <x:v>Cohort 4 rent</x:v>
      </x:c>
      <x:c r="D24" s="15" t="n">
        <x:f>IF(OR($D$18&lt;&gt;"READY",Assumptions!$D$8&lt;&gt;"READY"),"",IF($K10="UNUSED",0,$D10*12/10000000*IF(D$20&lt;=$H10,$E10*(1+$G10)^(D$20-1),$F10*(1+Assumptions!$D$21)^(D$20-1)*IF(D$20=$H10+1,$I10+(1-$I10)*(1-$J10/12),1))))</x:f>
        <x:v>0</x:v>
      </x:c>
      <x:c r="E24" s="15" t="n">
        <x:f>IF(OR($D$18&lt;&gt;"READY",Assumptions!$D$8&lt;&gt;"READY"),"",IF($K10="UNUSED",0,$D10*12/10000000*IF(E$20&lt;=$H10,$E10*(1+$G10)^(E$20-1),$F10*(1+Assumptions!$D$21)^(E$20-1)*IF(E$20=$H10+1,$I10+(1-$I10)*(1-$J10/12),1))))</x:f>
        <x:v>0</x:v>
      </x:c>
      <x:c r="F24" s="15" t="n">
        <x:f>IF(OR($D$18&lt;&gt;"READY",Assumptions!$D$8&lt;&gt;"READY"),"",IF($K10="UNUSED",0,$D10*12/10000000*IF(F$20&lt;=$H10,$E10*(1+$G10)^(F$20-1),$F10*(1+Assumptions!$D$21)^(F$20-1)*IF(F$20=$H10+1,$I10+(1-$I10)*(1-$J10/12),1))))</x:f>
        <x:v>0</x:v>
      </x:c>
      <x:c r="G24" s="15" t="n">
        <x:f>IF(OR($D$18&lt;&gt;"READY",Assumptions!$D$8&lt;&gt;"READY"),"",IF($K10="UNUSED",0,$D10*12/10000000*IF(G$20&lt;=$H10,$E10*(1+$G10)^(G$20-1),$F10*(1+Assumptions!$D$21)^(G$20-1)*IF(G$20=$H10+1,$I10+(1-$I10)*(1-$J10/12),1))))</x:f>
        <x:v>0</x:v>
      </x:c>
      <x:c r="H24" s="15" t="n">
        <x:f>IF(OR($D$18&lt;&gt;"READY",Assumptions!$D$8&lt;&gt;"READY"),"",IF($K10="UNUSED",0,$D10*12/10000000*IF(H$20&lt;=$H10,$E10*(1+$G10)^(H$20-1),$F10*(1+Assumptions!$D$21)^(H$20-1)*IF(H$20=$H10+1,$I10+(1-$I10)*(1-$J10/12),1))))</x:f>
        <x:v>0</x:v>
      </x:c>
      <x:c r="I24" s="15" t="n">
        <x:f>IF(OR($D$18&lt;&gt;"READY",Assumptions!$D$8&lt;&gt;"READY"),"",IF($K10="UNUSED",0,$D10*12/10000000*IF(I$20&lt;=$H10,$E10*(1+$G10)^(I$20-1),$F10*(1+Assumptions!$D$21)^(I$20-1)*IF(I$20=$H10+1,$I10+(1-$I10)*(1-$J10/12),1))))</x:f>
        <x:v>0</x:v>
      </x:c>
      <x:c r="J24" s="15" t="n">
        <x:f>IF(OR($D$18&lt;&gt;"READY",Assumptions!$D$8&lt;&gt;"READY"),"",IF($K10="UNUSED",0,$D10*12/10000000*IF(J$20&lt;=$H10,$E10*(1+$G10)^(J$20-1),$F10*(1+Assumptions!$D$21)^(J$20-1)*IF(J$20=$H10+1,$I10+(1-$I10)*(1-$J10/12),1))))</x:f>
        <x:v>0</x:v>
      </x:c>
      <x:c r="K24" s="15" t="n">
        <x:f>IF(OR($D$18&lt;&gt;"READY",Assumptions!$D$8&lt;&gt;"READY"),"",IF($K10="UNUSED",0,$D10*12/10000000*IF(K$20&lt;=$H10,$E10*(1+$G10)^(K$20-1),$F10*(1+Assumptions!$D$21)^(K$20-1)*IF(K$20=$H10+1,$I10+(1-$I10)*(1-$J10/12),1))))</x:f>
        <x:v>0</x:v>
      </x:c>
      <x:c r="L24" s="15" t="n">
        <x:f>IF(OR($D$18&lt;&gt;"READY",Assumptions!$D$8&lt;&gt;"READY"),"",IF($K10="UNUSED",0,$D10*12/10000000*IF(L$20&lt;=$H10,$E10*(1+$G10)^(L$20-1),$F10*(1+Assumptions!$D$21)^(L$20-1)*IF(L$20=$H10+1,$I10+(1-$I10)*(1-$J10/12),1))))</x:f>
        <x:v>0</x:v>
      </x:c>
      <x:c r="M24" s="15" t="n">
        <x:f>IF(OR($D$18&lt;&gt;"READY",Assumptions!$D$8&lt;&gt;"READY"),"",IF($K10="UNUSED",0,$D10*12/10000000*IF(M$20&lt;=$H10,$E10*(1+$G10)^(M$20-1),$F10*(1+Assumptions!$D$21)^(M$20-1)*IF(M$20=$H10+1,$I10+(1-$I10)*(1-$J10/12),1))))</x:f>
        <x:v>0</x:v>
      </x:c>
      <x:c r="N24" s="15" t="n">
        <x:f>IF(OR($D$18&lt;&gt;"READY",Assumptions!$D$8&lt;&gt;"READY"),"",IF($K10="UNUSED",0,$D10*12/10000000*IF(N$20&lt;=$H10,$E10*(1+$G10)^(N$20-1),$F10*(1+Assumptions!$D$21)^(N$20-1)*IF(N$20=$H10+1,$I10+(1-$I10)*(1-$J10/12),1))))</x:f>
        <x:v>0</x:v>
      </x:c>
      <x:c r="O24" s="1"/>
    </x:row>
    <x:row r="25" ht="22" customHeight="1">
      <x:c r="A25" s="1"/>
      <x:c r="B25" s="1"/>
      <x:c r="C25" s="1" t="str">
        <x:v>Cohort 5 rent</x:v>
      </x:c>
      <x:c r="D25" s="15" t="n">
        <x:f>IF(OR($D$18&lt;&gt;"READY",Assumptions!$D$8&lt;&gt;"READY"),"",IF($K11="UNUSED",0,$D11*12/10000000*IF(D$20&lt;=$H11,$E11*(1+$G11)^(D$20-1),$F11*(1+Assumptions!$D$21)^(D$20-1)*IF(D$20=$H11+1,$I11+(1-$I11)*(1-$J11/12),1))))</x:f>
        <x:v>0</x:v>
      </x:c>
      <x:c r="E25" s="15" t="n">
        <x:f>IF(OR($D$18&lt;&gt;"READY",Assumptions!$D$8&lt;&gt;"READY"),"",IF($K11="UNUSED",0,$D11*12/10000000*IF(E$20&lt;=$H11,$E11*(1+$G11)^(E$20-1),$F11*(1+Assumptions!$D$21)^(E$20-1)*IF(E$20=$H11+1,$I11+(1-$I11)*(1-$J11/12),1))))</x:f>
        <x:v>0</x:v>
      </x:c>
      <x:c r="F25" s="15" t="n">
        <x:f>IF(OR($D$18&lt;&gt;"READY",Assumptions!$D$8&lt;&gt;"READY"),"",IF($K11="UNUSED",0,$D11*12/10000000*IF(F$20&lt;=$H11,$E11*(1+$G11)^(F$20-1),$F11*(1+Assumptions!$D$21)^(F$20-1)*IF(F$20=$H11+1,$I11+(1-$I11)*(1-$J11/12),1))))</x:f>
        <x:v>0</x:v>
      </x:c>
      <x:c r="G25" s="15" t="n">
        <x:f>IF(OR($D$18&lt;&gt;"READY",Assumptions!$D$8&lt;&gt;"READY"),"",IF($K11="UNUSED",0,$D11*12/10000000*IF(G$20&lt;=$H11,$E11*(1+$G11)^(G$20-1),$F11*(1+Assumptions!$D$21)^(G$20-1)*IF(G$20=$H11+1,$I11+(1-$I11)*(1-$J11/12),1))))</x:f>
        <x:v>0</x:v>
      </x:c>
      <x:c r="H25" s="15" t="n">
        <x:f>IF(OR($D$18&lt;&gt;"READY",Assumptions!$D$8&lt;&gt;"READY"),"",IF($K11="UNUSED",0,$D11*12/10000000*IF(H$20&lt;=$H11,$E11*(1+$G11)^(H$20-1),$F11*(1+Assumptions!$D$21)^(H$20-1)*IF(H$20=$H11+1,$I11+(1-$I11)*(1-$J11/12),1))))</x:f>
        <x:v>0</x:v>
      </x:c>
      <x:c r="I25" s="15" t="n">
        <x:f>IF(OR($D$18&lt;&gt;"READY",Assumptions!$D$8&lt;&gt;"READY"),"",IF($K11="UNUSED",0,$D11*12/10000000*IF(I$20&lt;=$H11,$E11*(1+$G11)^(I$20-1),$F11*(1+Assumptions!$D$21)^(I$20-1)*IF(I$20=$H11+1,$I11+(1-$I11)*(1-$J11/12),1))))</x:f>
        <x:v>0</x:v>
      </x:c>
      <x:c r="J25" s="15" t="n">
        <x:f>IF(OR($D$18&lt;&gt;"READY",Assumptions!$D$8&lt;&gt;"READY"),"",IF($K11="UNUSED",0,$D11*12/10000000*IF(J$20&lt;=$H11,$E11*(1+$G11)^(J$20-1),$F11*(1+Assumptions!$D$21)^(J$20-1)*IF(J$20=$H11+1,$I11+(1-$I11)*(1-$J11/12),1))))</x:f>
        <x:v>0</x:v>
      </x:c>
      <x:c r="K25" s="15" t="n">
        <x:f>IF(OR($D$18&lt;&gt;"READY",Assumptions!$D$8&lt;&gt;"READY"),"",IF($K11="UNUSED",0,$D11*12/10000000*IF(K$20&lt;=$H11,$E11*(1+$G11)^(K$20-1),$F11*(1+Assumptions!$D$21)^(K$20-1)*IF(K$20=$H11+1,$I11+(1-$I11)*(1-$J11/12),1))))</x:f>
        <x:v>0</x:v>
      </x:c>
      <x:c r="L25" s="15" t="n">
        <x:f>IF(OR($D$18&lt;&gt;"READY",Assumptions!$D$8&lt;&gt;"READY"),"",IF($K11="UNUSED",0,$D11*12/10000000*IF(L$20&lt;=$H11,$E11*(1+$G11)^(L$20-1),$F11*(1+Assumptions!$D$21)^(L$20-1)*IF(L$20=$H11+1,$I11+(1-$I11)*(1-$J11/12),1))))</x:f>
        <x:v>0</x:v>
      </x:c>
      <x:c r="M25" s="15" t="n">
        <x:f>IF(OR($D$18&lt;&gt;"READY",Assumptions!$D$8&lt;&gt;"READY"),"",IF($K11="UNUSED",0,$D11*12/10000000*IF(M$20&lt;=$H11,$E11*(1+$G11)^(M$20-1),$F11*(1+Assumptions!$D$21)^(M$20-1)*IF(M$20=$H11+1,$I11+(1-$I11)*(1-$J11/12),1))))</x:f>
        <x:v>0</x:v>
      </x:c>
      <x:c r="N25" s="15" t="n">
        <x:f>IF(OR($D$18&lt;&gt;"READY",Assumptions!$D$8&lt;&gt;"READY"),"",IF($K11="UNUSED",0,$D11*12/10000000*IF(N$20&lt;=$H11,$E11*(1+$G11)^(N$20-1),$F11*(1+Assumptions!$D$21)^(N$20-1)*IF(N$20=$H11+1,$I11+(1-$I11)*(1-$J11/12),1))))</x:f>
        <x:v>0</x:v>
      </x:c>
      <x:c r="O25" s="1"/>
    </x:row>
    <x:row r="26" ht="22" customHeight="1">
      <x:c r="A26" s="1"/>
      <x:c r="B26" s="1"/>
      <x:c r="C26" s="1" t="str">
        <x:v>Cohort 6 rent</x:v>
      </x:c>
      <x:c r="D26" s="15" t="n">
        <x:f>IF(OR($D$18&lt;&gt;"READY",Assumptions!$D$8&lt;&gt;"READY"),"",IF($K12="UNUSED",0,$D12*12/10000000*IF(D$20&lt;=$H12,$E12*(1+$G12)^(D$20-1),$F12*(1+Assumptions!$D$21)^(D$20-1)*IF(D$20=$H12+1,$I12+(1-$I12)*(1-$J12/12),1))))</x:f>
        <x:v>0</x:v>
      </x:c>
      <x:c r="E26" s="15" t="n">
        <x:f>IF(OR($D$18&lt;&gt;"READY",Assumptions!$D$8&lt;&gt;"READY"),"",IF($K12="UNUSED",0,$D12*12/10000000*IF(E$20&lt;=$H12,$E12*(1+$G12)^(E$20-1),$F12*(1+Assumptions!$D$21)^(E$20-1)*IF(E$20=$H12+1,$I12+(1-$I12)*(1-$J12/12),1))))</x:f>
        <x:v>0</x:v>
      </x:c>
      <x:c r="F26" s="15" t="n">
        <x:f>IF(OR($D$18&lt;&gt;"READY",Assumptions!$D$8&lt;&gt;"READY"),"",IF($K12="UNUSED",0,$D12*12/10000000*IF(F$20&lt;=$H12,$E12*(1+$G12)^(F$20-1),$F12*(1+Assumptions!$D$21)^(F$20-1)*IF(F$20=$H12+1,$I12+(1-$I12)*(1-$J12/12),1))))</x:f>
        <x:v>0</x:v>
      </x:c>
      <x:c r="G26" s="15" t="n">
        <x:f>IF(OR($D$18&lt;&gt;"READY",Assumptions!$D$8&lt;&gt;"READY"),"",IF($K12="UNUSED",0,$D12*12/10000000*IF(G$20&lt;=$H12,$E12*(1+$G12)^(G$20-1),$F12*(1+Assumptions!$D$21)^(G$20-1)*IF(G$20=$H12+1,$I12+(1-$I12)*(1-$J12/12),1))))</x:f>
        <x:v>0</x:v>
      </x:c>
      <x:c r="H26" s="15" t="n">
        <x:f>IF(OR($D$18&lt;&gt;"READY",Assumptions!$D$8&lt;&gt;"READY"),"",IF($K12="UNUSED",0,$D12*12/10000000*IF(H$20&lt;=$H12,$E12*(1+$G12)^(H$20-1),$F12*(1+Assumptions!$D$21)^(H$20-1)*IF(H$20=$H12+1,$I12+(1-$I12)*(1-$J12/12),1))))</x:f>
        <x:v>0</x:v>
      </x:c>
      <x:c r="I26" s="15" t="n">
        <x:f>IF(OR($D$18&lt;&gt;"READY",Assumptions!$D$8&lt;&gt;"READY"),"",IF($K12="UNUSED",0,$D12*12/10000000*IF(I$20&lt;=$H12,$E12*(1+$G12)^(I$20-1),$F12*(1+Assumptions!$D$21)^(I$20-1)*IF(I$20=$H12+1,$I12+(1-$I12)*(1-$J12/12),1))))</x:f>
        <x:v>0</x:v>
      </x:c>
      <x:c r="J26" s="15" t="n">
        <x:f>IF(OR($D$18&lt;&gt;"READY",Assumptions!$D$8&lt;&gt;"READY"),"",IF($K12="UNUSED",0,$D12*12/10000000*IF(J$20&lt;=$H12,$E12*(1+$G12)^(J$20-1),$F12*(1+Assumptions!$D$21)^(J$20-1)*IF(J$20=$H12+1,$I12+(1-$I12)*(1-$J12/12),1))))</x:f>
        <x:v>0</x:v>
      </x:c>
      <x:c r="K26" s="15" t="n">
        <x:f>IF(OR($D$18&lt;&gt;"READY",Assumptions!$D$8&lt;&gt;"READY"),"",IF($K12="UNUSED",0,$D12*12/10000000*IF(K$20&lt;=$H12,$E12*(1+$G12)^(K$20-1),$F12*(1+Assumptions!$D$21)^(K$20-1)*IF(K$20=$H12+1,$I12+(1-$I12)*(1-$J12/12),1))))</x:f>
        <x:v>0</x:v>
      </x:c>
      <x:c r="L26" s="15" t="n">
        <x:f>IF(OR($D$18&lt;&gt;"READY",Assumptions!$D$8&lt;&gt;"READY"),"",IF($K12="UNUSED",0,$D12*12/10000000*IF(L$20&lt;=$H12,$E12*(1+$G12)^(L$20-1),$F12*(1+Assumptions!$D$21)^(L$20-1)*IF(L$20=$H12+1,$I12+(1-$I12)*(1-$J12/12),1))))</x:f>
        <x:v>0</x:v>
      </x:c>
      <x:c r="M26" s="15" t="n">
        <x:f>IF(OR($D$18&lt;&gt;"READY",Assumptions!$D$8&lt;&gt;"READY"),"",IF($K12="UNUSED",0,$D12*12/10000000*IF(M$20&lt;=$H12,$E12*(1+$G12)^(M$20-1),$F12*(1+Assumptions!$D$21)^(M$20-1)*IF(M$20=$H12+1,$I12+(1-$I12)*(1-$J12/12),1))))</x:f>
        <x:v>0</x:v>
      </x:c>
      <x:c r="N26" s="15" t="n">
        <x:f>IF(OR($D$18&lt;&gt;"READY",Assumptions!$D$8&lt;&gt;"READY"),"",IF($K12="UNUSED",0,$D12*12/10000000*IF(N$20&lt;=$H12,$E12*(1+$G12)^(N$20-1),$F12*(1+Assumptions!$D$21)^(N$20-1)*IF(N$20=$H12+1,$I12+(1-$I12)*(1-$J12/12),1))))</x:f>
        <x:v>0</x:v>
      </x:c>
      <x:c r="O26" s="1"/>
    </x:row>
    <x:row r="27" ht="22" customHeight="1">
      <x:c r="A27" s="1"/>
      <x:c r="B27" s="1"/>
      <x:c r="C27" s="1" t="str">
        <x:v>Cohort 7 rent</x:v>
      </x:c>
      <x:c r="D27" s="15" t="n">
        <x:f>IF(OR($D$18&lt;&gt;"READY",Assumptions!$D$8&lt;&gt;"READY"),"",IF($K13="UNUSED",0,$D13*12/10000000*IF(D$20&lt;=$H13,$E13*(1+$G13)^(D$20-1),$F13*(1+Assumptions!$D$21)^(D$20-1)*IF(D$20=$H13+1,$I13+(1-$I13)*(1-$J13/12),1))))</x:f>
        <x:v>0</x:v>
      </x:c>
      <x:c r="E27" s="15" t="n">
        <x:f>IF(OR($D$18&lt;&gt;"READY",Assumptions!$D$8&lt;&gt;"READY"),"",IF($K13="UNUSED",0,$D13*12/10000000*IF(E$20&lt;=$H13,$E13*(1+$G13)^(E$20-1),$F13*(1+Assumptions!$D$21)^(E$20-1)*IF(E$20=$H13+1,$I13+(1-$I13)*(1-$J13/12),1))))</x:f>
        <x:v>0</x:v>
      </x:c>
      <x:c r="F27" s="15" t="n">
        <x:f>IF(OR($D$18&lt;&gt;"READY",Assumptions!$D$8&lt;&gt;"READY"),"",IF($K13="UNUSED",0,$D13*12/10000000*IF(F$20&lt;=$H13,$E13*(1+$G13)^(F$20-1),$F13*(1+Assumptions!$D$21)^(F$20-1)*IF(F$20=$H13+1,$I13+(1-$I13)*(1-$J13/12),1))))</x:f>
        <x:v>0</x:v>
      </x:c>
      <x:c r="G27" s="15" t="n">
        <x:f>IF(OR($D$18&lt;&gt;"READY",Assumptions!$D$8&lt;&gt;"READY"),"",IF($K13="UNUSED",0,$D13*12/10000000*IF(G$20&lt;=$H13,$E13*(1+$G13)^(G$20-1),$F13*(1+Assumptions!$D$21)^(G$20-1)*IF(G$20=$H13+1,$I13+(1-$I13)*(1-$J13/12),1))))</x:f>
        <x:v>0</x:v>
      </x:c>
      <x:c r="H27" s="15" t="n">
        <x:f>IF(OR($D$18&lt;&gt;"READY",Assumptions!$D$8&lt;&gt;"READY"),"",IF($K13="UNUSED",0,$D13*12/10000000*IF(H$20&lt;=$H13,$E13*(1+$G13)^(H$20-1),$F13*(1+Assumptions!$D$21)^(H$20-1)*IF(H$20=$H13+1,$I13+(1-$I13)*(1-$J13/12),1))))</x:f>
        <x:v>0</x:v>
      </x:c>
      <x:c r="I27" s="15" t="n">
        <x:f>IF(OR($D$18&lt;&gt;"READY",Assumptions!$D$8&lt;&gt;"READY"),"",IF($K13="UNUSED",0,$D13*12/10000000*IF(I$20&lt;=$H13,$E13*(1+$G13)^(I$20-1),$F13*(1+Assumptions!$D$21)^(I$20-1)*IF(I$20=$H13+1,$I13+(1-$I13)*(1-$J13/12),1))))</x:f>
        <x:v>0</x:v>
      </x:c>
      <x:c r="J27" s="15" t="n">
        <x:f>IF(OR($D$18&lt;&gt;"READY",Assumptions!$D$8&lt;&gt;"READY"),"",IF($K13="UNUSED",0,$D13*12/10000000*IF(J$20&lt;=$H13,$E13*(1+$G13)^(J$20-1),$F13*(1+Assumptions!$D$21)^(J$20-1)*IF(J$20=$H13+1,$I13+(1-$I13)*(1-$J13/12),1))))</x:f>
        <x:v>0</x:v>
      </x:c>
      <x:c r="K27" s="15" t="n">
        <x:f>IF(OR($D$18&lt;&gt;"READY",Assumptions!$D$8&lt;&gt;"READY"),"",IF($K13="UNUSED",0,$D13*12/10000000*IF(K$20&lt;=$H13,$E13*(1+$G13)^(K$20-1),$F13*(1+Assumptions!$D$21)^(K$20-1)*IF(K$20=$H13+1,$I13+(1-$I13)*(1-$J13/12),1))))</x:f>
        <x:v>0</x:v>
      </x:c>
      <x:c r="L27" s="15" t="n">
        <x:f>IF(OR($D$18&lt;&gt;"READY",Assumptions!$D$8&lt;&gt;"READY"),"",IF($K13="UNUSED",0,$D13*12/10000000*IF(L$20&lt;=$H13,$E13*(1+$G13)^(L$20-1),$F13*(1+Assumptions!$D$21)^(L$20-1)*IF(L$20=$H13+1,$I13+(1-$I13)*(1-$J13/12),1))))</x:f>
        <x:v>0</x:v>
      </x:c>
      <x:c r="M27" s="15" t="n">
        <x:f>IF(OR($D$18&lt;&gt;"READY",Assumptions!$D$8&lt;&gt;"READY"),"",IF($K13="UNUSED",0,$D13*12/10000000*IF(M$20&lt;=$H13,$E13*(1+$G13)^(M$20-1),$F13*(1+Assumptions!$D$21)^(M$20-1)*IF(M$20=$H13+1,$I13+(1-$I13)*(1-$J13/12),1))))</x:f>
        <x:v>0</x:v>
      </x:c>
      <x:c r="N27" s="15" t="n">
        <x:f>IF(OR($D$18&lt;&gt;"READY",Assumptions!$D$8&lt;&gt;"READY"),"",IF($K13="UNUSED",0,$D13*12/10000000*IF(N$20&lt;=$H13,$E13*(1+$G13)^(N$20-1),$F13*(1+Assumptions!$D$21)^(N$20-1)*IF(N$20=$H13+1,$I13+(1-$I13)*(1-$J13/12),1))))</x:f>
        <x:v>0</x:v>
      </x:c>
      <x:c r="O27" s="1"/>
    </x:row>
    <x:row r="28" ht="22" customHeight="1">
      <x:c r="A28" s="1"/>
      <x:c r="B28" s="1"/>
      <x:c r="C28" s="1" t="str">
        <x:v>Cohort 8 rent</x:v>
      </x:c>
      <x:c r="D28" s="15" t="n">
        <x:f>IF(OR($D$18&lt;&gt;"READY",Assumptions!$D$8&lt;&gt;"READY"),"",IF($K14="UNUSED",0,$D14*12/10000000*IF(D$20&lt;=$H14,$E14*(1+$G14)^(D$20-1),$F14*(1+Assumptions!$D$21)^(D$20-1)*IF(D$20=$H14+1,$I14+(1-$I14)*(1-$J14/12),1))))</x:f>
        <x:v>0</x:v>
      </x:c>
      <x:c r="E28" s="15" t="n">
        <x:f>IF(OR($D$18&lt;&gt;"READY",Assumptions!$D$8&lt;&gt;"READY"),"",IF($K14="UNUSED",0,$D14*12/10000000*IF(E$20&lt;=$H14,$E14*(1+$G14)^(E$20-1),$F14*(1+Assumptions!$D$21)^(E$20-1)*IF(E$20=$H14+1,$I14+(1-$I14)*(1-$J14/12),1))))</x:f>
        <x:v>0</x:v>
      </x:c>
      <x:c r="F28" s="15" t="n">
        <x:f>IF(OR($D$18&lt;&gt;"READY",Assumptions!$D$8&lt;&gt;"READY"),"",IF($K14="UNUSED",0,$D14*12/10000000*IF(F$20&lt;=$H14,$E14*(1+$G14)^(F$20-1),$F14*(1+Assumptions!$D$21)^(F$20-1)*IF(F$20=$H14+1,$I14+(1-$I14)*(1-$J14/12),1))))</x:f>
        <x:v>0</x:v>
      </x:c>
      <x:c r="G28" s="15" t="n">
        <x:f>IF(OR($D$18&lt;&gt;"READY",Assumptions!$D$8&lt;&gt;"READY"),"",IF($K14="UNUSED",0,$D14*12/10000000*IF(G$20&lt;=$H14,$E14*(1+$G14)^(G$20-1),$F14*(1+Assumptions!$D$21)^(G$20-1)*IF(G$20=$H14+1,$I14+(1-$I14)*(1-$J14/12),1))))</x:f>
        <x:v>0</x:v>
      </x:c>
      <x:c r="H28" s="15" t="n">
        <x:f>IF(OR($D$18&lt;&gt;"READY",Assumptions!$D$8&lt;&gt;"READY"),"",IF($K14="UNUSED",0,$D14*12/10000000*IF(H$20&lt;=$H14,$E14*(1+$G14)^(H$20-1),$F14*(1+Assumptions!$D$21)^(H$20-1)*IF(H$20=$H14+1,$I14+(1-$I14)*(1-$J14/12),1))))</x:f>
        <x:v>0</x:v>
      </x:c>
      <x:c r="I28" s="15" t="n">
        <x:f>IF(OR($D$18&lt;&gt;"READY",Assumptions!$D$8&lt;&gt;"READY"),"",IF($K14="UNUSED",0,$D14*12/10000000*IF(I$20&lt;=$H14,$E14*(1+$G14)^(I$20-1),$F14*(1+Assumptions!$D$21)^(I$20-1)*IF(I$20=$H14+1,$I14+(1-$I14)*(1-$J14/12),1))))</x:f>
        <x:v>0</x:v>
      </x:c>
      <x:c r="J28" s="15" t="n">
        <x:f>IF(OR($D$18&lt;&gt;"READY",Assumptions!$D$8&lt;&gt;"READY"),"",IF($K14="UNUSED",0,$D14*12/10000000*IF(J$20&lt;=$H14,$E14*(1+$G14)^(J$20-1),$F14*(1+Assumptions!$D$21)^(J$20-1)*IF(J$20=$H14+1,$I14+(1-$I14)*(1-$J14/12),1))))</x:f>
        <x:v>0</x:v>
      </x:c>
      <x:c r="K28" s="15" t="n">
        <x:f>IF(OR($D$18&lt;&gt;"READY",Assumptions!$D$8&lt;&gt;"READY"),"",IF($K14="UNUSED",0,$D14*12/10000000*IF(K$20&lt;=$H14,$E14*(1+$G14)^(K$20-1),$F14*(1+Assumptions!$D$21)^(K$20-1)*IF(K$20=$H14+1,$I14+(1-$I14)*(1-$J14/12),1))))</x:f>
        <x:v>0</x:v>
      </x:c>
      <x:c r="L28" s="15" t="n">
        <x:f>IF(OR($D$18&lt;&gt;"READY",Assumptions!$D$8&lt;&gt;"READY"),"",IF($K14="UNUSED",0,$D14*12/10000000*IF(L$20&lt;=$H14,$E14*(1+$G14)^(L$20-1),$F14*(1+Assumptions!$D$21)^(L$20-1)*IF(L$20=$H14+1,$I14+(1-$I14)*(1-$J14/12),1))))</x:f>
        <x:v>0</x:v>
      </x:c>
      <x:c r="M28" s="15" t="n">
        <x:f>IF(OR($D$18&lt;&gt;"READY",Assumptions!$D$8&lt;&gt;"READY"),"",IF($K14="UNUSED",0,$D14*12/10000000*IF(M$20&lt;=$H14,$E14*(1+$G14)^(M$20-1),$F14*(1+Assumptions!$D$21)^(M$20-1)*IF(M$20=$H14+1,$I14+(1-$I14)*(1-$J14/12),1))))</x:f>
        <x:v>0</x:v>
      </x:c>
      <x:c r="N28" s="15" t="n">
        <x:f>IF(OR($D$18&lt;&gt;"READY",Assumptions!$D$8&lt;&gt;"READY"),"",IF($K14="UNUSED",0,$D14*12/10000000*IF(N$20&lt;=$H14,$E14*(1+$G14)^(N$20-1),$F14*(1+Assumptions!$D$21)^(N$20-1)*IF(N$20=$H14+1,$I14+(1-$I14)*(1-$J14/12),1))))</x:f>
        <x:v>0</x:v>
      </x:c>
      <x:c r="O28" s="1"/>
    </x:row>
    <x:row r="29" ht="22" customHeight="1">
      <x:c r="A29" s="1"/>
      <x:c r="B29" s="1"/>
      <x:c r="C29" s="1" t="str">
        <x:v>Cohort 9 rent</x:v>
      </x:c>
      <x:c r="D29" s="15" t="n">
        <x:f>IF(OR($D$18&lt;&gt;"READY",Assumptions!$D$8&lt;&gt;"READY"),"",IF($K15="UNUSED",0,$D15*12/10000000*IF(D$20&lt;=$H15,$E15*(1+$G15)^(D$20-1),$F15*(1+Assumptions!$D$21)^(D$20-1)*IF(D$20=$H15+1,$I15+(1-$I15)*(1-$J15/12),1))))</x:f>
        <x:v>0</x:v>
      </x:c>
      <x:c r="E29" s="15" t="n">
        <x:f>IF(OR($D$18&lt;&gt;"READY",Assumptions!$D$8&lt;&gt;"READY"),"",IF($K15="UNUSED",0,$D15*12/10000000*IF(E$20&lt;=$H15,$E15*(1+$G15)^(E$20-1),$F15*(1+Assumptions!$D$21)^(E$20-1)*IF(E$20=$H15+1,$I15+(1-$I15)*(1-$J15/12),1))))</x:f>
        <x:v>0</x:v>
      </x:c>
      <x:c r="F29" s="15" t="n">
        <x:f>IF(OR($D$18&lt;&gt;"READY",Assumptions!$D$8&lt;&gt;"READY"),"",IF($K15="UNUSED",0,$D15*12/10000000*IF(F$20&lt;=$H15,$E15*(1+$G15)^(F$20-1),$F15*(1+Assumptions!$D$21)^(F$20-1)*IF(F$20=$H15+1,$I15+(1-$I15)*(1-$J15/12),1))))</x:f>
        <x:v>0</x:v>
      </x:c>
      <x:c r="G29" s="15" t="n">
        <x:f>IF(OR($D$18&lt;&gt;"READY",Assumptions!$D$8&lt;&gt;"READY"),"",IF($K15="UNUSED",0,$D15*12/10000000*IF(G$20&lt;=$H15,$E15*(1+$G15)^(G$20-1),$F15*(1+Assumptions!$D$21)^(G$20-1)*IF(G$20=$H15+1,$I15+(1-$I15)*(1-$J15/12),1))))</x:f>
        <x:v>0</x:v>
      </x:c>
      <x:c r="H29" s="15" t="n">
        <x:f>IF(OR($D$18&lt;&gt;"READY",Assumptions!$D$8&lt;&gt;"READY"),"",IF($K15="UNUSED",0,$D15*12/10000000*IF(H$20&lt;=$H15,$E15*(1+$G15)^(H$20-1),$F15*(1+Assumptions!$D$21)^(H$20-1)*IF(H$20=$H15+1,$I15+(1-$I15)*(1-$J15/12),1))))</x:f>
        <x:v>0</x:v>
      </x:c>
      <x:c r="I29" s="15" t="n">
        <x:f>IF(OR($D$18&lt;&gt;"READY",Assumptions!$D$8&lt;&gt;"READY"),"",IF($K15="UNUSED",0,$D15*12/10000000*IF(I$20&lt;=$H15,$E15*(1+$G15)^(I$20-1),$F15*(1+Assumptions!$D$21)^(I$20-1)*IF(I$20=$H15+1,$I15+(1-$I15)*(1-$J15/12),1))))</x:f>
        <x:v>0</x:v>
      </x:c>
      <x:c r="J29" s="15" t="n">
        <x:f>IF(OR($D$18&lt;&gt;"READY",Assumptions!$D$8&lt;&gt;"READY"),"",IF($K15="UNUSED",0,$D15*12/10000000*IF(J$20&lt;=$H15,$E15*(1+$G15)^(J$20-1),$F15*(1+Assumptions!$D$21)^(J$20-1)*IF(J$20=$H15+1,$I15+(1-$I15)*(1-$J15/12),1))))</x:f>
        <x:v>0</x:v>
      </x:c>
      <x:c r="K29" s="15" t="n">
        <x:f>IF(OR($D$18&lt;&gt;"READY",Assumptions!$D$8&lt;&gt;"READY"),"",IF($K15="UNUSED",0,$D15*12/10000000*IF(K$20&lt;=$H15,$E15*(1+$G15)^(K$20-1),$F15*(1+Assumptions!$D$21)^(K$20-1)*IF(K$20=$H15+1,$I15+(1-$I15)*(1-$J15/12),1))))</x:f>
        <x:v>0</x:v>
      </x:c>
      <x:c r="L29" s="15" t="n">
        <x:f>IF(OR($D$18&lt;&gt;"READY",Assumptions!$D$8&lt;&gt;"READY"),"",IF($K15="UNUSED",0,$D15*12/10000000*IF(L$20&lt;=$H15,$E15*(1+$G15)^(L$20-1),$F15*(1+Assumptions!$D$21)^(L$20-1)*IF(L$20=$H15+1,$I15+(1-$I15)*(1-$J15/12),1))))</x:f>
        <x:v>0</x:v>
      </x:c>
      <x:c r="M29" s="15" t="n">
        <x:f>IF(OR($D$18&lt;&gt;"READY",Assumptions!$D$8&lt;&gt;"READY"),"",IF($K15="UNUSED",0,$D15*12/10000000*IF(M$20&lt;=$H15,$E15*(1+$G15)^(M$20-1),$F15*(1+Assumptions!$D$21)^(M$20-1)*IF(M$20=$H15+1,$I15+(1-$I15)*(1-$J15/12),1))))</x:f>
        <x:v>0</x:v>
      </x:c>
      <x:c r="N29" s="15" t="n">
        <x:f>IF(OR($D$18&lt;&gt;"READY",Assumptions!$D$8&lt;&gt;"READY"),"",IF($K15="UNUSED",0,$D15*12/10000000*IF(N$20&lt;=$H15,$E15*(1+$G15)^(N$20-1),$F15*(1+Assumptions!$D$21)^(N$20-1)*IF(N$20=$H15+1,$I15+(1-$I15)*(1-$J15/12),1))))</x:f>
        <x:v>0</x:v>
      </x:c>
      <x:c r="O29" s="1"/>
    </x:row>
    <x:row r="30" ht="22" customHeight="1">
      <x:c r="A30" s="1"/>
      <x:c r="B30" s="1"/>
      <x:c r="C30" s="1" t="str">
        <x:v>Cohort 10 rent</x:v>
      </x:c>
      <x:c r="D30" s="15" t="n">
        <x:f>IF(OR($D$18&lt;&gt;"READY",Assumptions!$D$8&lt;&gt;"READY"),"",IF($K16="UNUSED",0,$D16*12/10000000*IF(D$20&lt;=$H16,$E16*(1+$G16)^(D$20-1),$F16*(1+Assumptions!$D$21)^(D$20-1)*IF(D$20=$H16+1,$I16+(1-$I16)*(1-$J16/12),1))))</x:f>
        <x:v>0</x:v>
      </x:c>
      <x:c r="E30" s="15" t="n">
        <x:f>IF(OR($D$18&lt;&gt;"READY",Assumptions!$D$8&lt;&gt;"READY"),"",IF($K16="UNUSED",0,$D16*12/10000000*IF(E$20&lt;=$H16,$E16*(1+$G16)^(E$20-1),$F16*(1+Assumptions!$D$21)^(E$20-1)*IF(E$20=$H16+1,$I16+(1-$I16)*(1-$J16/12),1))))</x:f>
        <x:v>0</x:v>
      </x:c>
      <x:c r="F30" s="15" t="n">
        <x:f>IF(OR($D$18&lt;&gt;"READY",Assumptions!$D$8&lt;&gt;"READY"),"",IF($K16="UNUSED",0,$D16*12/10000000*IF(F$20&lt;=$H16,$E16*(1+$G16)^(F$20-1),$F16*(1+Assumptions!$D$21)^(F$20-1)*IF(F$20=$H16+1,$I16+(1-$I16)*(1-$J16/12),1))))</x:f>
        <x:v>0</x:v>
      </x:c>
      <x:c r="G30" s="15" t="n">
        <x:f>IF(OR($D$18&lt;&gt;"READY",Assumptions!$D$8&lt;&gt;"READY"),"",IF($K16="UNUSED",0,$D16*12/10000000*IF(G$20&lt;=$H16,$E16*(1+$G16)^(G$20-1),$F16*(1+Assumptions!$D$21)^(G$20-1)*IF(G$20=$H16+1,$I16+(1-$I16)*(1-$J16/12),1))))</x:f>
        <x:v>0</x:v>
      </x:c>
      <x:c r="H30" s="15" t="n">
        <x:f>IF(OR($D$18&lt;&gt;"READY",Assumptions!$D$8&lt;&gt;"READY"),"",IF($K16="UNUSED",0,$D16*12/10000000*IF(H$20&lt;=$H16,$E16*(1+$G16)^(H$20-1),$F16*(1+Assumptions!$D$21)^(H$20-1)*IF(H$20=$H16+1,$I16+(1-$I16)*(1-$J16/12),1))))</x:f>
        <x:v>0</x:v>
      </x:c>
      <x:c r="I30" s="15" t="n">
        <x:f>IF(OR($D$18&lt;&gt;"READY",Assumptions!$D$8&lt;&gt;"READY"),"",IF($K16="UNUSED",0,$D16*12/10000000*IF(I$20&lt;=$H16,$E16*(1+$G16)^(I$20-1),$F16*(1+Assumptions!$D$21)^(I$20-1)*IF(I$20=$H16+1,$I16+(1-$I16)*(1-$J16/12),1))))</x:f>
        <x:v>0</x:v>
      </x:c>
      <x:c r="J30" s="15" t="n">
        <x:f>IF(OR($D$18&lt;&gt;"READY",Assumptions!$D$8&lt;&gt;"READY"),"",IF($K16="UNUSED",0,$D16*12/10000000*IF(J$20&lt;=$H16,$E16*(1+$G16)^(J$20-1),$F16*(1+Assumptions!$D$21)^(J$20-1)*IF(J$20=$H16+1,$I16+(1-$I16)*(1-$J16/12),1))))</x:f>
        <x:v>0</x:v>
      </x:c>
      <x:c r="K30" s="15" t="n">
        <x:f>IF(OR($D$18&lt;&gt;"READY",Assumptions!$D$8&lt;&gt;"READY"),"",IF($K16="UNUSED",0,$D16*12/10000000*IF(K$20&lt;=$H16,$E16*(1+$G16)^(K$20-1),$F16*(1+Assumptions!$D$21)^(K$20-1)*IF(K$20=$H16+1,$I16+(1-$I16)*(1-$J16/12),1))))</x:f>
        <x:v>0</x:v>
      </x:c>
      <x:c r="L30" s="15" t="n">
        <x:f>IF(OR($D$18&lt;&gt;"READY",Assumptions!$D$8&lt;&gt;"READY"),"",IF($K16="UNUSED",0,$D16*12/10000000*IF(L$20&lt;=$H16,$E16*(1+$G16)^(L$20-1),$F16*(1+Assumptions!$D$21)^(L$20-1)*IF(L$20=$H16+1,$I16+(1-$I16)*(1-$J16/12),1))))</x:f>
        <x:v>0</x:v>
      </x:c>
      <x:c r="M30" s="15" t="n">
        <x:f>IF(OR($D$18&lt;&gt;"READY",Assumptions!$D$8&lt;&gt;"READY"),"",IF($K16="UNUSED",0,$D16*12/10000000*IF(M$20&lt;=$H16,$E16*(1+$G16)^(M$20-1),$F16*(1+Assumptions!$D$21)^(M$20-1)*IF(M$20=$H16+1,$I16+(1-$I16)*(1-$J16/12),1))))</x:f>
        <x:v>0</x:v>
      </x:c>
      <x:c r="N30" s="15" t="n">
        <x:f>IF(OR($D$18&lt;&gt;"READY",Assumptions!$D$8&lt;&gt;"READY"),"",IF($K16="UNUSED",0,$D16*12/10000000*IF(N$20&lt;=$H16,$E16*(1+$G16)^(N$20-1),$F16*(1+Assumptions!$D$21)^(N$20-1)*IF(N$20=$H16+1,$I16+(1-$I16)*(1-$J16/12),1))))</x:f>
        <x:v>0</x:v>
      </x:c>
      <x:c r="O30" s="1"/>
    </x:row>
    <x:row r="31" ht="22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/>
      <x:c r="D34" s="2" t="n">
        <x:v>1</x:v>
      </x:c>
      <x:c r="E34" s="2" t="n">
        <x:v>2</x:v>
      </x:c>
      <x:c r="F34" s="2" t="n">
        <x:v>3</x:v>
      </x:c>
      <x:c r="G34" s="2" t="n">
        <x:v>4</x:v>
      </x:c>
      <x:c r="H34" s="2" t="n">
        <x:v>5</x:v>
      </x:c>
      <x:c r="I34" s="2" t="n">
        <x:v>6</x:v>
      </x:c>
      <x:c r="J34" s="2" t="n">
        <x:v>7</x:v>
      </x:c>
      <x:c r="K34" s="2" t="n">
        <x:v>8</x:v>
      </x:c>
      <x:c r="L34" s="2" t="n">
        <x:v>9</x:v>
      </x:c>
      <x:c r="M34" s="2" t="n">
        <x:v>10</x:v>
      </x:c>
      <x:c r="N34" s="2" t="n">
        <x:v>11</x:v>
      </x:c>
      <x:c r="O34" s="1"/>
    </x:row>
    <x:row r="35" ht="22" customHeight="1">
      <x:c r="A35" s="1"/>
      <x:c r="B35" s="1"/>
      <x:c r="C35" s="1" t="str">
        <x:v>Cohort 1 TI + fees</x:v>
      </x:c>
      <x:c r="D35" s="15" t="n">
        <x:f>IF(OR($D$18&lt;&gt;"READY",Assumptions!$D$8&lt;&gt;"READY"),"",IF(OR($K7="UNUSED",D$34&lt;&gt;$H7+1),0,$D7*(1-$I7)*(Assumptions!$D$18+$F7*12*(1+Assumptions!$D$21)^(D$34-1)*Assumptions!$D$19)/10000000))</x:f>
        <x:v>0</x:v>
      </x:c>
      <x:c r="E35" s="15" t="n">
        <x:f>IF(OR($D$18&lt;&gt;"READY",Assumptions!$D$8&lt;&gt;"READY"),"",IF(OR($K7="UNUSED",E$34&lt;&gt;$H7+1),0,$D7*(1-$I7)*(Assumptions!$D$18+$F7*12*(1+Assumptions!$D$21)^(E$34-1)*Assumptions!$D$19)/10000000))</x:f>
        <x:v>0</x:v>
      </x:c>
      <x:c r="F35" s="15" t="n">
        <x:f>IF(OR($D$18&lt;&gt;"READY",Assumptions!$D$8&lt;&gt;"READY"),"",IF(OR($K7="UNUSED",F$34&lt;&gt;$H7+1),0,$D7*(1-$I7)*(Assumptions!$D$18+$F7*12*(1+Assumptions!$D$21)^(F$34-1)*Assumptions!$D$19)/10000000))</x:f>
        <x:v>0</x:v>
      </x:c>
      <x:c r="G35" s="15" t="n">
        <x:f>IF(OR($D$18&lt;&gt;"READY",Assumptions!$D$8&lt;&gt;"READY"),"",IF(OR($K7="UNUSED",G$34&lt;&gt;$H7+1),0,$D7*(1-$I7)*(Assumptions!$D$18+$F7*12*(1+Assumptions!$D$21)^(G$34-1)*Assumptions!$D$19)/10000000))</x:f>
        <x:v>0</x:v>
      </x:c>
      <x:c r="H35" s="15" t="n">
        <x:f>IF(OR($D$18&lt;&gt;"READY",Assumptions!$D$8&lt;&gt;"READY"),"",IF(OR($K7="UNUSED",H$34&lt;&gt;$H7+1),0,$D7*(1-$I7)*(Assumptions!$D$18+$F7*12*(1+Assumptions!$D$21)^(H$34-1)*Assumptions!$D$19)/10000000))</x:f>
        <x:v>0</x:v>
      </x:c>
      <x:c r="I35" s="15" t="n">
        <x:f>IF(OR($D$18&lt;&gt;"READY",Assumptions!$D$8&lt;&gt;"READY"),"",IF(OR($K7="UNUSED",I$34&lt;&gt;$H7+1),0,$D7*(1-$I7)*(Assumptions!$D$18+$F7*12*(1+Assumptions!$D$21)^(I$34-1)*Assumptions!$D$19)/10000000))</x:f>
        <x:v>263.16955637959563</x:v>
      </x:c>
      <x:c r="J35" s="15" t="n">
        <x:f>IF(OR($D$18&lt;&gt;"READY",Assumptions!$D$8&lt;&gt;"READY"),"",IF(OR($K7="UNUSED",J$34&lt;&gt;$H7+1),0,$D7*(1-$I7)*(Assumptions!$D$18+$F7*12*(1+Assumptions!$D$21)^(J$34-1)*Assumptions!$D$19)/10000000))</x:f>
        <x:v>0</x:v>
      </x:c>
      <x:c r="K35" s="15" t="n">
        <x:f>IF(OR($D$18&lt;&gt;"READY",Assumptions!$D$8&lt;&gt;"READY"),"",IF(OR($K7="UNUSED",K$34&lt;&gt;$H7+1),0,$D7*(1-$I7)*(Assumptions!$D$18+$F7*12*(1+Assumptions!$D$21)^(K$34-1)*Assumptions!$D$19)/10000000))</x:f>
        <x:v>0</x:v>
      </x:c>
      <x:c r="L35" s="15" t="n">
        <x:f>IF(OR($D$18&lt;&gt;"READY",Assumptions!$D$8&lt;&gt;"READY"),"",IF(OR($K7="UNUSED",L$34&lt;&gt;$H7+1),0,$D7*(1-$I7)*(Assumptions!$D$18+$F7*12*(1+Assumptions!$D$21)^(L$34-1)*Assumptions!$D$19)/10000000))</x:f>
        <x:v>0</x:v>
      </x:c>
      <x:c r="M35" s="15" t="n">
        <x:f>IF(OR($D$18&lt;&gt;"READY",Assumptions!$D$8&lt;&gt;"READY"),"",IF(OR($K7="UNUSED",M$34&lt;&gt;$H7+1),0,$D7*(1-$I7)*(Assumptions!$D$18+$F7*12*(1+Assumptions!$D$21)^(M$34-1)*Assumptions!$D$19)/10000000))</x:f>
        <x:v>0</x:v>
      </x:c>
      <x:c r="N35" s="15" t="n">
        <x:f>IF(OR($D$18&lt;&gt;"READY",Assumptions!$D$8&lt;&gt;"READY"),"",IF(OR($K7="UNUSED",N$34&lt;&gt;$H7+1),0,$D7*(1-$I7)*(Assumptions!$D$18+$F7*12*(1+Assumptions!$D$21)^(N$34-1)*Assumptions!$D$19)/10000000))</x:f>
        <x:v>0</x:v>
      </x:c>
      <x:c r="O35" s="1"/>
    </x:row>
    <x:row r="36" ht="22" customHeight="1">
      <x:c r="A36" s="1"/>
      <x:c r="B36" s="1"/>
      <x:c r="C36" s="1" t="str">
        <x:v>Cohort 2 TI + fees</x:v>
      </x:c>
      <x:c r="D36" s="15" t="n">
        <x:f>IF(OR($D$18&lt;&gt;"READY",Assumptions!$D$8&lt;&gt;"READY"),"",IF(OR($K8="UNUSED",D$34&lt;&gt;$H8+1),0,$D8*(1-$I8)*(Assumptions!$D$18+$F8*12*(1+Assumptions!$D$21)^(D$34-1)*Assumptions!$D$19)/10000000))</x:f>
        <x:v>0</x:v>
      </x:c>
      <x:c r="E36" s="15" t="n">
        <x:f>IF(OR($D$18&lt;&gt;"READY",Assumptions!$D$8&lt;&gt;"READY"),"",IF(OR($K8="UNUSED",E$34&lt;&gt;$H8+1),0,$D8*(1-$I8)*(Assumptions!$D$18+$F8*12*(1+Assumptions!$D$21)^(E$34-1)*Assumptions!$D$19)/10000000))</x:f>
        <x:v>0</x:v>
      </x:c>
      <x:c r="F36" s="15" t="n">
        <x:f>IF(OR($D$18&lt;&gt;"READY",Assumptions!$D$8&lt;&gt;"READY"),"",IF(OR($K8="UNUSED",F$34&lt;&gt;$H8+1),0,$D8*(1-$I8)*(Assumptions!$D$18+$F8*12*(1+Assumptions!$D$21)^(F$34-1)*Assumptions!$D$19)/10000000))</x:f>
        <x:v>0</x:v>
      </x:c>
      <x:c r="G36" s="15" t="n">
        <x:f>IF(OR($D$18&lt;&gt;"READY",Assumptions!$D$8&lt;&gt;"READY"),"",IF(OR($K8="UNUSED",G$34&lt;&gt;$H8+1),0,$D8*(1-$I8)*(Assumptions!$D$18+$F8*12*(1+Assumptions!$D$21)^(G$34-1)*Assumptions!$D$19)/10000000))</x:f>
        <x:v>0</x:v>
      </x:c>
      <x:c r="H36" s="15" t="n">
        <x:f>IF(OR($D$18&lt;&gt;"READY",Assumptions!$D$8&lt;&gt;"READY"),"",IF(OR($K8="UNUSED",H$34&lt;&gt;$H8+1),0,$D8*(1-$I8)*(Assumptions!$D$18+$F8*12*(1+Assumptions!$D$21)^(H$34-1)*Assumptions!$D$19)/10000000))</x:f>
        <x:v>0</x:v>
      </x:c>
      <x:c r="I36" s="15" t="n">
        <x:f>IF(OR($D$18&lt;&gt;"READY",Assumptions!$D$8&lt;&gt;"READY"),"",IF(OR($K8="UNUSED",I$34&lt;&gt;$H8+1),0,$D8*(1-$I8)*(Assumptions!$D$18+$F8*12*(1+Assumptions!$D$21)^(I$34-1)*Assumptions!$D$19)/10000000))</x:f>
        <x:v>0</x:v>
      </x:c>
      <x:c r="J36" s="15" t="n">
        <x:f>IF(OR($D$18&lt;&gt;"READY",Assumptions!$D$8&lt;&gt;"READY"),"",IF(OR($K8="UNUSED",J$34&lt;&gt;$H8+1),0,$D8*(1-$I8)*(Assumptions!$D$18+$F8*12*(1+Assumptions!$D$21)^(J$34-1)*Assumptions!$D$19)/10000000))</x:f>
        <x:v>0</x:v>
      </x:c>
      <x:c r="K36" s="15" t="n">
        <x:f>IF(OR($D$18&lt;&gt;"READY",Assumptions!$D$8&lt;&gt;"READY"),"",IF(OR($K8="UNUSED",K$34&lt;&gt;$H8+1),0,$D8*(1-$I8)*(Assumptions!$D$18+$F8*12*(1+Assumptions!$D$21)^(K$34-1)*Assumptions!$D$19)/10000000))</x:f>
        <x:v>0</x:v>
      </x:c>
      <x:c r="L36" s="15" t="n">
        <x:f>IF(OR($D$18&lt;&gt;"READY",Assumptions!$D$8&lt;&gt;"READY"),"",IF(OR($K8="UNUSED",L$34&lt;&gt;$H8+1),0,$D8*(1-$I8)*(Assumptions!$D$18+$F8*12*(1+Assumptions!$D$21)^(L$34-1)*Assumptions!$D$19)/10000000))</x:f>
        <x:v>0</x:v>
      </x:c>
      <x:c r="M36" s="15" t="n">
        <x:f>IF(OR($D$18&lt;&gt;"READY",Assumptions!$D$8&lt;&gt;"READY"),"",IF(OR($K8="UNUSED",M$34&lt;&gt;$H8+1),0,$D8*(1-$I8)*(Assumptions!$D$18+$F8*12*(1+Assumptions!$D$21)^(M$34-1)*Assumptions!$D$19)/10000000))</x:f>
        <x:v>0</x:v>
      </x:c>
      <x:c r="N36" s="15" t="n">
        <x:f>IF(OR($D$18&lt;&gt;"READY",Assumptions!$D$8&lt;&gt;"READY"),"",IF(OR($K8="UNUSED",N$34&lt;&gt;$H8+1),0,$D8*(1-$I8)*(Assumptions!$D$18+$F8*12*(1+Assumptions!$D$21)^(N$34-1)*Assumptions!$D$19)/10000000))</x:f>
        <x:v>0</x:v>
      </x:c>
      <x:c r="O36" s="1"/>
    </x:row>
    <x:row r="37" ht="22" customHeight="1">
      <x:c r="A37" s="1"/>
      <x:c r="B37" s="1"/>
      <x:c r="C37" s="1" t="str">
        <x:v>Cohort 3 TI + fees</x:v>
      </x:c>
      <x:c r="D37" s="15" t="n">
        <x:f>IF(OR($D$18&lt;&gt;"READY",Assumptions!$D$8&lt;&gt;"READY"),"",IF(OR($K9="UNUSED",D$34&lt;&gt;$H9+1),0,$D9*(1-$I9)*(Assumptions!$D$18+$F9*12*(1+Assumptions!$D$21)^(D$34-1)*Assumptions!$D$19)/10000000))</x:f>
        <x:v>0</x:v>
      </x:c>
      <x:c r="E37" s="15" t="n">
        <x:f>IF(OR($D$18&lt;&gt;"READY",Assumptions!$D$8&lt;&gt;"READY"),"",IF(OR($K9="UNUSED",E$34&lt;&gt;$H9+1),0,$D9*(1-$I9)*(Assumptions!$D$18+$F9*12*(1+Assumptions!$D$21)^(E$34-1)*Assumptions!$D$19)/10000000))</x:f>
        <x:v>0</x:v>
      </x:c>
      <x:c r="F37" s="15" t="n">
        <x:f>IF(OR($D$18&lt;&gt;"READY",Assumptions!$D$8&lt;&gt;"READY"),"",IF(OR($K9="UNUSED",F$34&lt;&gt;$H9+1),0,$D9*(1-$I9)*(Assumptions!$D$18+$F9*12*(1+Assumptions!$D$21)^(F$34-1)*Assumptions!$D$19)/10000000))</x:f>
        <x:v>0</x:v>
      </x:c>
      <x:c r="G37" s="15" t="n">
        <x:f>IF(OR($D$18&lt;&gt;"READY",Assumptions!$D$8&lt;&gt;"READY"),"",IF(OR($K9="UNUSED",G$34&lt;&gt;$H9+1),0,$D9*(1-$I9)*(Assumptions!$D$18+$F9*12*(1+Assumptions!$D$21)^(G$34-1)*Assumptions!$D$19)/10000000))</x:f>
        <x:v>0</x:v>
      </x:c>
      <x:c r="H37" s="15" t="n">
        <x:f>IF(OR($D$18&lt;&gt;"READY",Assumptions!$D$8&lt;&gt;"READY"),"",IF(OR($K9="UNUSED",H$34&lt;&gt;$H9+1),0,$D9*(1-$I9)*(Assumptions!$D$18+$F9*12*(1+Assumptions!$D$21)^(H$34-1)*Assumptions!$D$19)/10000000))</x:f>
        <x:v>0</x:v>
      </x:c>
      <x:c r="I37" s="15" t="n">
        <x:f>IF(OR($D$18&lt;&gt;"READY",Assumptions!$D$8&lt;&gt;"READY"),"",IF(OR($K9="UNUSED",I$34&lt;&gt;$H9+1),0,$D9*(1-$I9)*(Assumptions!$D$18+$F9*12*(1+Assumptions!$D$21)^(I$34-1)*Assumptions!$D$19)/10000000))</x:f>
        <x:v>0</x:v>
      </x:c>
      <x:c r="J37" s="15" t="n">
        <x:f>IF(OR($D$18&lt;&gt;"READY",Assumptions!$D$8&lt;&gt;"READY"),"",IF(OR($K9="UNUSED",J$34&lt;&gt;$H9+1),0,$D9*(1-$I9)*(Assumptions!$D$18+$F9*12*(1+Assumptions!$D$21)^(J$34-1)*Assumptions!$D$19)/10000000))</x:f>
        <x:v>0</x:v>
      </x:c>
      <x:c r="K37" s="15" t="n">
        <x:f>IF(OR($D$18&lt;&gt;"READY",Assumptions!$D$8&lt;&gt;"READY"),"",IF(OR($K9="UNUSED",K$34&lt;&gt;$H9+1),0,$D9*(1-$I9)*(Assumptions!$D$18+$F9*12*(1+Assumptions!$D$21)^(K$34-1)*Assumptions!$D$19)/10000000))</x:f>
        <x:v>0</x:v>
      </x:c>
      <x:c r="L37" s="15" t="n">
        <x:f>IF(OR($D$18&lt;&gt;"READY",Assumptions!$D$8&lt;&gt;"READY"),"",IF(OR($K9="UNUSED",L$34&lt;&gt;$H9+1),0,$D9*(1-$I9)*(Assumptions!$D$18+$F9*12*(1+Assumptions!$D$21)^(L$34-1)*Assumptions!$D$19)/10000000))</x:f>
        <x:v>0</x:v>
      </x:c>
      <x:c r="M37" s="15" t="n">
        <x:f>IF(OR($D$18&lt;&gt;"READY",Assumptions!$D$8&lt;&gt;"READY"),"",IF(OR($K9="UNUSED",M$34&lt;&gt;$H9+1),0,$D9*(1-$I9)*(Assumptions!$D$18+$F9*12*(1+Assumptions!$D$21)^(M$34-1)*Assumptions!$D$19)/10000000))</x:f>
        <x:v>0</x:v>
      </x:c>
      <x:c r="N37" s="15" t="n">
        <x:f>IF(OR($D$18&lt;&gt;"READY",Assumptions!$D$8&lt;&gt;"READY"),"",IF(OR($K9="UNUSED",N$34&lt;&gt;$H9+1),0,$D9*(1-$I9)*(Assumptions!$D$18+$F9*12*(1+Assumptions!$D$21)^(N$34-1)*Assumptions!$D$19)/10000000))</x:f>
        <x:v>0</x:v>
      </x:c>
      <x:c r="O37" s="1"/>
    </x:row>
    <x:row r="38" ht="22" customHeight="1">
      <x:c r="A38" s="1"/>
      <x:c r="B38" s="1"/>
      <x:c r="C38" s="1" t="str">
        <x:v>Cohort 4 TI + fees</x:v>
      </x:c>
      <x:c r="D38" s="15" t="n">
        <x:f>IF(OR($D$18&lt;&gt;"READY",Assumptions!$D$8&lt;&gt;"READY"),"",IF(OR($K10="UNUSED",D$34&lt;&gt;$H10+1),0,$D10*(1-$I10)*(Assumptions!$D$18+$F10*12*(1+Assumptions!$D$21)^(D$34-1)*Assumptions!$D$19)/10000000))</x:f>
        <x:v>0</x:v>
      </x:c>
      <x:c r="E38" s="15" t="n">
        <x:f>IF(OR($D$18&lt;&gt;"READY",Assumptions!$D$8&lt;&gt;"READY"),"",IF(OR($K10="UNUSED",E$34&lt;&gt;$H10+1),0,$D10*(1-$I10)*(Assumptions!$D$18+$F10*12*(1+Assumptions!$D$21)^(E$34-1)*Assumptions!$D$19)/10000000))</x:f>
        <x:v>0</x:v>
      </x:c>
      <x:c r="F38" s="15" t="n">
        <x:f>IF(OR($D$18&lt;&gt;"READY",Assumptions!$D$8&lt;&gt;"READY"),"",IF(OR($K10="UNUSED",F$34&lt;&gt;$H10+1),0,$D10*(1-$I10)*(Assumptions!$D$18+$F10*12*(1+Assumptions!$D$21)^(F$34-1)*Assumptions!$D$19)/10000000))</x:f>
        <x:v>0</x:v>
      </x:c>
      <x:c r="G38" s="15" t="n">
        <x:f>IF(OR($D$18&lt;&gt;"READY",Assumptions!$D$8&lt;&gt;"READY"),"",IF(OR($K10="UNUSED",G$34&lt;&gt;$H10+1),0,$D10*(1-$I10)*(Assumptions!$D$18+$F10*12*(1+Assumptions!$D$21)^(G$34-1)*Assumptions!$D$19)/10000000))</x:f>
        <x:v>0</x:v>
      </x:c>
      <x:c r="H38" s="15" t="n">
        <x:f>IF(OR($D$18&lt;&gt;"READY",Assumptions!$D$8&lt;&gt;"READY"),"",IF(OR($K10="UNUSED",H$34&lt;&gt;$H10+1),0,$D10*(1-$I10)*(Assumptions!$D$18+$F10*12*(1+Assumptions!$D$21)^(H$34-1)*Assumptions!$D$19)/10000000))</x:f>
        <x:v>0</x:v>
      </x:c>
      <x:c r="I38" s="15" t="n">
        <x:f>IF(OR($D$18&lt;&gt;"READY",Assumptions!$D$8&lt;&gt;"READY"),"",IF(OR($K10="UNUSED",I$34&lt;&gt;$H10+1),0,$D10*(1-$I10)*(Assumptions!$D$18+$F10*12*(1+Assumptions!$D$21)^(I$34-1)*Assumptions!$D$19)/10000000))</x:f>
        <x:v>0</x:v>
      </x:c>
      <x:c r="J38" s="15" t="n">
        <x:f>IF(OR($D$18&lt;&gt;"READY",Assumptions!$D$8&lt;&gt;"READY"),"",IF(OR($K10="UNUSED",J$34&lt;&gt;$H10+1),0,$D10*(1-$I10)*(Assumptions!$D$18+$F10*12*(1+Assumptions!$D$21)^(J$34-1)*Assumptions!$D$19)/10000000))</x:f>
        <x:v>0</x:v>
      </x:c>
      <x:c r="K38" s="15" t="n">
        <x:f>IF(OR($D$18&lt;&gt;"READY",Assumptions!$D$8&lt;&gt;"READY"),"",IF(OR($K10="UNUSED",K$34&lt;&gt;$H10+1),0,$D10*(1-$I10)*(Assumptions!$D$18+$F10*12*(1+Assumptions!$D$21)^(K$34-1)*Assumptions!$D$19)/10000000))</x:f>
        <x:v>0</x:v>
      </x:c>
      <x:c r="L38" s="15" t="n">
        <x:f>IF(OR($D$18&lt;&gt;"READY",Assumptions!$D$8&lt;&gt;"READY"),"",IF(OR($K10="UNUSED",L$34&lt;&gt;$H10+1),0,$D10*(1-$I10)*(Assumptions!$D$18+$F10*12*(1+Assumptions!$D$21)^(L$34-1)*Assumptions!$D$19)/10000000))</x:f>
        <x:v>0</x:v>
      </x:c>
      <x:c r="M38" s="15" t="n">
        <x:f>IF(OR($D$18&lt;&gt;"READY",Assumptions!$D$8&lt;&gt;"READY"),"",IF(OR($K10="UNUSED",M$34&lt;&gt;$H10+1),0,$D10*(1-$I10)*(Assumptions!$D$18+$F10*12*(1+Assumptions!$D$21)^(M$34-1)*Assumptions!$D$19)/10000000))</x:f>
        <x:v>0</x:v>
      </x:c>
      <x:c r="N38" s="15" t="n">
        <x:f>IF(OR($D$18&lt;&gt;"READY",Assumptions!$D$8&lt;&gt;"READY"),"",IF(OR($K10="UNUSED",N$34&lt;&gt;$H10+1),0,$D10*(1-$I10)*(Assumptions!$D$18+$F10*12*(1+Assumptions!$D$21)^(N$34-1)*Assumptions!$D$19)/10000000))</x:f>
        <x:v>0</x:v>
      </x:c>
      <x:c r="O38" s="1"/>
    </x:row>
    <x:row r="39" ht="22" customHeight="1">
      <x:c r="A39" s="1"/>
      <x:c r="B39" s="1"/>
      <x:c r="C39" s="1" t="str">
        <x:v>Cohort 5 TI + fees</x:v>
      </x:c>
      <x:c r="D39" s="15" t="n">
        <x:f>IF(OR($D$18&lt;&gt;"READY",Assumptions!$D$8&lt;&gt;"READY"),"",IF(OR($K11="UNUSED",D$34&lt;&gt;$H11+1),0,$D11*(1-$I11)*(Assumptions!$D$18+$F11*12*(1+Assumptions!$D$21)^(D$34-1)*Assumptions!$D$19)/10000000))</x:f>
        <x:v>0</x:v>
      </x:c>
      <x:c r="E39" s="15" t="n">
        <x:f>IF(OR($D$18&lt;&gt;"READY",Assumptions!$D$8&lt;&gt;"READY"),"",IF(OR($K11="UNUSED",E$34&lt;&gt;$H11+1),0,$D11*(1-$I11)*(Assumptions!$D$18+$F11*12*(1+Assumptions!$D$21)^(E$34-1)*Assumptions!$D$19)/10000000))</x:f>
        <x:v>0</x:v>
      </x:c>
      <x:c r="F39" s="15" t="n">
        <x:f>IF(OR($D$18&lt;&gt;"READY",Assumptions!$D$8&lt;&gt;"READY"),"",IF(OR($K11="UNUSED",F$34&lt;&gt;$H11+1),0,$D11*(1-$I11)*(Assumptions!$D$18+$F11*12*(1+Assumptions!$D$21)^(F$34-1)*Assumptions!$D$19)/10000000))</x:f>
        <x:v>0</x:v>
      </x:c>
      <x:c r="G39" s="15" t="n">
        <x:f>IF(OR($D$18&lt;&gt;"READY",Assumptions!$D$8&lt;&gt;"READY"),"",IF(OR($K11="UNUSED",G$34&lt;&gt;$H11+1),0,$D11*(1-$I11)*(Assumptions!$D$18+$F11*12*(1+Assumptions!$D$21)^(G$34-1)*Assumptions!$D$19)/10000000))</x:f>
        <x:v>0</x:v>
      </x:c>
      <x:c r="H39" s="15" t="n">
        <x:f>IF(OR($D$18&lt;&gt;"READY",Assumptions!$D$8&lt;&gt;"READY"),"",IF(OR($K11="UNUSED",H$34&lt;&gt;$H11+1),0,$D11*(1-$I11)*(Assumptions!$D$18+$F11*12*(1+Assumptions!$D$21)^(H$34-1)*Assumptions!$D$19)/10000000))</x:f>
        <x:v>0</x:v>
      </x:c>
      <x:c r="I39" s="15" t="n">
        <x:f>IF(OR($D$18&lt;&gt;"READY",Assumptions!$D$8&lt;&gt;"READY"),"",IF(OR($K11="UNUSED",I$34&lt;&gt;$H11+1),0,$D11*(1-$I11)*(Assumptions!$D$18+$F11*12*(1+Assumptions!$D$21)^(I$34-1)*Assumptions!$D$19)/10000000))</x:f>
        <x:v>0</x:v>
      </x:c>
      <x:c r="J39" s="15" t="n">
        <x:f>IF(OR($D$18&lt;&gt;"READY",Assumptions!$D$8&lt;&gt;"READY"),"",IF(OR($K11="UNUSED",J$34&lt;&gt;$H11+1),0,$D11*(1-$I11)*(Assumptions!$D$18+$F11*12*(1+Assumptions!$D$21)^(J$34-1)*Assumptions!$D$19)/10000000))</x:f>
        <x:v>0</x:v>
      </x:c>
      <x:c r="K39" s="15" t="n">
        <x:f>IF(OR($D$18&lt;&gt;"READY",Assumptions!$D$8&lt;&gt;"READY"),"",IF(OR($K11="UNUSED",K$34&lt;&gt;$H11+1),0,$D11*(1-$I11)*(Assumptions!$D$18+$F11*12*(1+Assumptions!$D$21)^(K$34-1)*Assumptions!$D$19)/10000000))</x:f>
        <x:v>0</x:v>
      </x:c>
      <x:c r="L39" s="15" t="n">
        <x:f>IF(OR($D$18&lt;&gt;"READY",Assumptions!$D$8&lt;&gt;"READY"),"",IF(OR($K11="UNUSED",L$34&lt;&gt;$H11+1),0,$D11*(1-$I11)*(Assumptions!$D$18+$F11*12*(1+Assumptions!$D$21)^(L$34-1)*Assumptions!$D$19)/10000000))</x:f>
        <x:v>0</x:v>
      </x:c>
      <x:c r="M39" s="15" t="n">
        <x:f>IF(OR($D$18&lt;&gt;"READY",Assumptions!$D$8&lt;&gt;"READY"),"",IF(OR($K11="UNUSED",M$34&lt;&gt;$H11+1),0,$D11*(1-$I11)*(Assumptions!$D$18+$F11*12*(1+Assumptions!$D$21)^(M$34-1)*Assumptions!$D$19)/10000000))</x:f>
        <x:v>0</x:v>
      </x:c>
      <x:c r="N39" s="15" t="n">
        <x:f>IF(OR($D$18&lt;&gt;"READY",Assumptions!$D$8&lt;&gt;"READY"),"",IF(OR($K11="UNUSED",N$34&lt;&gt;$H11+1),0,$D11*(1-$I11)*(Assumptions!$D$18+$F11*12*(1+Assumptions!$D$21)^(N$34-1)*Assumptions!$D$19)/10000000))</x:f>
        <x:v>0</x:v>
      </x:c>
      <x:c r="O39" s="1"/>
    </x:row>
    <x:row r="40" ht="22" customHeight="1">
      <x:c r="A40" s="1"/>
      <x:c r="B40" s="1"/>
      <x:c r="C40" s="1" t="str">
        <x:v>Cohort 6 TI + fees</x:v>
      </x:c>
      <x:c r="D40" s="15" t="n">
        <x:f>IF(OR($D$18&lt;&gt;"READY",Assumptions!$D$8&lt;&gt;"READY"),"",IF(OR($K12="UNUSED",D$34&lt;&gt;$H12+1),0,$D12*(1-$I12)*(Assumptions!$D$18+$F12*12*(1+Assumptions!$D$21)^(D$34-1)*Assumptions!$D$19)/10000000))</x:f>
        <x:v>0</x:v>
      </x:c>
      <x:c r="E40" s="15" t="n">
        <x:f>IF(OR($D$18&lt;&gt;"READY",Assumptions!$D$8&lt;&gt;"READY"),"",IF(OR($K12="UNUSED",E$34&lt;&gt;$H12+1),0,$D12*(1-$I12)*(Assumptions!$D$18+$F12*12*(1+Assumptions!$D$21)^(E$34-1)*Assumptions!$D$19)/10000000))</x:f>
        <x:v>0</x:v>
      </x:c>
      <x:c r="F40" s="15" t="n">
        <x:f>IF(OR($D$18&lt;&gt;"READY",Assumptions!$D$8&lt;&gt;"READY"),"",IF(OR($K12="UNUSED",F$34&lt;&gt;$H12+1),0,$D12*(1-$I12)*(Assumptions!$D$18+$F12*12*(1+Assumptions!$D$21)^(F$34-1)*Assumptions!$D$19)/10000000))</x:f>
        <x:v>0</x:v>
      </x:c>
      <x:c r="G40" s="15" t="n">
        <x:f>IF(OR($D$18&lt;&gt;"READY",Assumptions!$D$8&lt;&gt;"READY"),"",IF(OR($K12="UNUSED",G$34&lt;&gt;$H12+1),0,$D12*(1-$I12)*(Assumptions!$D$18+$F12*12*(1+Assumptions!$D$21)^(G$34-1)*Assumptions!$D$19)/10000000))</x:f>
        <x:v>0</x:v>
      </x:c>
      <x:c r="H40" s="15" t="n">
        <x:f>IF(OR($D$18&lt;&gt;"READY",Assumptions!$D$8&lt;&gt;"READY"),"",IF(OR($K12="UNUSED",H$34&lt;&gt;$H12+1),0,$D12*(1-$I12)*(Assumptions!$D$18+$F12*12*(1+Assumptions!$D$21)^(H$34-1)*Assumptions!$D$19)/10000000))</x:f>
        <x:v>0</x:v>
      </x:c>
      <x:c r="I40" s="15" t="n">
        <x:f>IF(OR($D$18&lt;&gt;"READY",Assumptions!$D$8&lt;&gt;"READY"),"",IF(OR($K12="UNUSED",I$34&lt;&gt;$H12+1),0,$D12*(1-$I12)*(Assumptions!$D$18+$F12*12*(1+Assumptions!$D$21)^(I$34-1)*Assumptions!$D$19)/10000000))</x:f>
        <x:v>0</x:v>
      </x:c>
      <x:c r="J40" s="15" t="n">
        <x:f>IF(OR($D$18&lt;&gt;"READY",Assumptions!$D$8&lt;&gt;"READY"),"",IF(OR($K12="UNUSED",J$34&lt;&gt;$H12+1),0,$D12*(1-$I12)*(Assumptions!$D$18+$F12*12*(1+Assumptions!$D$21)^(J$34-1)*Assumptions!$D$19)/10000000))</x:f>
        <x:v>0</x:v>
      </x:c>
      <x:c r="K40" s="15" t="n">
        <x:f>IF(OR($D$18&lt;&gt;"READY",Assumptions!$D$8&lt;&gt;"READY"),"",IF(OR($K12="UNUSED",K$34&lt;&gt;$H12+1),0,$D12*(1-$I12)*(Assumptions!$D$18+$F12*12*(1+Assumptions!$D$21)^(K$34-1)*Assumptions!$D$19)/10000000))</x:f>
        <x:v>0</x:v>
      </x:c>
      <x:c r="L40" s="15" t="n">
        <x:f>IF(OR($D$18&lt;&gt;"READY",Assumptions!$D$8&lt;&gt;"READY"),"",IF(OR($K12="UNUSED",L$34&lt;&gt;$H12+1),0,$D12*(1-$I12)*(Assumptions!$D$18+$F12*12*(1+Assumptions!$D$21)^(L$34-1)*Assumptions!$D$19)/10000000))</x:f>
        <x:v>0</x:v>
      </x:c>
      <x:c r="M40" s="15" t="n">
        <x:f>IF(OR($D$18&lt;&gt;"READY",Assumptions!$D$8&lt;&gt;"READY"),"",IF(OR($K12="UNUSED",M$34&lt;&gt;$H12+1),0,$D12*(1-$I12)*(Assumptions!$D$18+$F12*12*(1+Assumptions!$D$21)^(M$34-1)*Assumptions!$D$19)/10000000))</x:f>
        <x:v>0</x:v>
      </x:c>
      <x:c r="N40" s="15" t="n">
        <x:f>IF(OR($D$18&lt;&gt;"READY",Assumptions!$D$8&lt;&gt;"READY"),"",IF(OR($K12="UNUSED",N$34&lt;&gt;$H12+1),0,$D12*(1-$I12)*(Assumptions!$D$18+$F12*12*(1+Assumptions!$D$21)^(N$34-1)*Assumptions!$D$19)/10000000))</x:f>
        <x:v>0</x:v>
      </x:c>
      <x:c r="O40" s="1"/>
    </x:row>
    <x:row r="41" ht="22" customHeight="1">
      <x:c r="A41" s="1"/>
      <x:c r="B41" s="1"/>
      <x:c r="C41" s="1" t="str">
        <x:v>Cohort 7 TI + fees</x:v>
      </x:c>
      <x:c r="D41" s="15" t="n">
        <x:f>IF(OR($D$18&lt;&gt;"READY",Assumptions!$D$8&lt;&gt;"READY"),"",IF(OR($K13="UNUSED",D$34&lt;&gt;$H13+1),0,$D13*(1-$I13)*(Assumptions!$D$18+$F13*12*(1+Assumptions!$D$21)^(D$34-1)*Assumptions!$D$19)/10000000))</x:f>
        <x:v>0</x:v>
      </x:c>
      <x:c r="E41" s="15" t="n">
        <x:f>IF(OR($D$18&lt;&gt;"READY",Assumptions!$D$8&lt;&gt;"READY"),"",IF(OR($K13="UNUSED",E$34&lt;&gt;$H13+1),0,$D13*(1-$I13)*(Assumptions!$D$18+$F13*12*(1+Assumptions!$D$21)^(E$34-1)*Assumptions!$D$19)/10000000))</x:f>
        <x:v>0</x:v>
      </x:c>
      <x:c r="F41" s="15" t="n">
        <x:f>IF(OR($D$18&lt;&gt;"READY",Assumptions!$D$8&lt;&gt;"READY"),"",IF(OR($K13="UNUSED",F$34&lt;&gt;$H13+1),0,$D13*(1-$I13)*(Assumptions!$D$18+$F13*12*(1+Assumptions!$D$21)^(F$34-1)*Assumptions!$D$19)/10000000))</x:f>
        <x:v>0</x:v>
      </x:c>
      <x:c r="G41" s="15" t="n">
        <x:f>IF(OR($D$18&lt;&gt;"READY",Assumptions!$D$8&lt;&gt;"READY"),"",IF(OR($K13="UNUSED",G$34&lt;&gt;$H13+1),0,$D13*(1-$I13)*(Assumptions!$D$18+$F13*12*(1+Assumptions!$D$21)^(G$34-1)*Assumptions!$D$19)/10000000))</x:f>
        <x:v>0</x:v>
      </x:c>
      <x:c r="H41" s="15" t="n">
        <x:f>IF(OR($D$18&lt;&gt;"READY",Assumptions!$D$8&lt;&gt;"READY"),"",IF(OR($K13="UNUSED",H$34&lt;&gt;$H13+1),0,$D13*(1-$I13)*(Assumptions!$D$18+$F13*12*(1+Assumptions!$D$21)^(H$34-1)*Assumptions!$D$19)/10000000))</x:f>
        <x:v>0</x:v>
      </x:c>
      <x:c r="I41" s="15" t="n">
        <x:f>IF(OR($D$18&lt;&gt;"READY",Assumptions!$D$8&lt;&gt;"READY"),"",IF(OR($K13="UNUSED",I$34&lt;&gt;$H13+1),0,$D13*(1-$I13)*(Assumptions!$D$18+$F13*12*(1+Assumptions!$D$21)^(I$34-1)*Assumptions!$D$19)/10000000))</x:f>
        <x:v>0</x:v>
      </x:c>
      <x:c r="J41" s="15" t="n">
        <x:f>IF(OR($D$18&lt;&gt;"READY",Assumptions!$D$8&lt;&gt;"READY"),"",IF(OR($K13="UNUSED",J$34&lt;&gt;$H13+1),0,$D13*(1-$I13)*(Assumptions!$D$18+$F13*12*(1+Assumptions!$D$21)^(J$34-1)*Assumptions!$D$19)/10000000))</x:f>
        <x:v>0</x:v>
      </x:c>
      <x:c r="K41" s="15" t="n">
        <x:f>IF(OR($D$18&lt;&gt;"READY",Assumptions!$D$8&lt;&gt;"READY"),"",IF(OR($K13="UNUSED",K$34&lt;&gt;$H13+1),0,$D13*(1-$I13)*(Assumptions!$D$18+$F13*12*(1+Assumptions!$D$21)^(K$34-1)*Assumptions!$D$19)/10000000))</x:f>
        <x:v>0</x:v>
      </x:c>
      <x:c r="L41" s="15" t="n">
        <x:f>IF(OR($D$18&lt;&gt;"READY",Assumptions!$D$8&lt;&gt;"READY"),"",IF(OR($K13="UNUSED",L$34&lt;&gt;$H13+1),0,$D13*(1-$I13)*(Assumptions!$D$18+$F13*12*(1+Assumptions!$D$21)^(L$34-1)*Assumptions!$D$19)/10000000))</x:f>
        <x:v>0</x:v>
      </x:c>
      <x:c r="M41" s="15" t="n">
        <x:f>IF(OR($D$18&lt;&gt;"READY",Assumptions!$D$8&lt;&gt;"READY"),"",IF(OR($K13="UNUSED",M$34&lt;&gt;$H13+1),0,$D13*(1-$I13)*(Assumptions!$D$18+$F13*12*(1+Assumptions!$D$21)^(M$34-1)*Assumptions!$D$19)/10000000))</x:f>
        <x:v>0</x:v>
      </x:c>
      <x:c r="N41" s="15" t="n">
        <x:f>IF(OR($D$18&lt;&gt;"READY",Assumptions!$D$8&lt;&gt;"READY"),"",IF(OR($K13="UNUSED",N$34&lt;&gt;$H13+1),0,$D13*(1-$I13)*(Assumptions!$D$18+$F13*12*(1+Assumptions!$D$21)^(N$34-1)*Assumptions!$D$19)/10000000))</x:f>
        <x:v>0</x:v>
      </x:c>
      <x:c r="O41" s="1"/>
    </x:row>
    <x:row r="42" ht="22" customHeight="1">
      <x:c r="A42" s="1"/>
      <x:c r="B42" s="1"/>
      <x:c r="C42" s="1" t="str">
        <x:v>Cohort 8 TI + fees</x:v>
      </x:c>
      <x:c r="D42" s="15" t="n">
        <x:f>IF(OR($D$18&lt;&gt;"READY",Assumptions!$D$8&lt;&gt;"READY"),"",IF(OR($K14="UNUSED",D$34&lt;&gt;$H14+1),0,$D14*(1-$I14)*(Assumptions!$D$18+$F14*12*(1+Assumptions!$D$21)^(D$34-1)*Assumptions!$D$19)/10000000))</x:f>
        <x:v>0</x:v>
      </x:c>
      <x:c r="E42" s="15" t="n">
        <x:f>IF(OR($D$18&lt;&gt;"READY",Assumptions!$D$8&lt;&gt;"READY"),"",IF(OR($K14="UNUSED",E$34&lt;&gt;$H14+1),0,$D14*(1-$I14)*(Assumptions!$D$18+$F14*12*(1+Assumptions!$D$21)^(E$34-1)*Assumptions!$D$19)/10000000))</x:f>
        <x:v>0</x:v>
      </x:c>
      <x:c r="F42" s="15" t="n">
        <x:f>IF(OR($D$18&lt;&gt;"READY",Assumptions!$D$8&lt;&gt;"READY"),"",IF(OR($K14="UNUSED",F$34&lt;&gt;$H14+1),0,$D14*(1-$I14)*(Assumptions!$D$18+$F14*12*(1+Assumptions!$D$21)^(F$34-1)*Assumptions!$D$19)/10000000))</x:f>
        <x:v>0</x:v>
      </x:c>
      <x:c r="G42" s="15" t="n">
        <x:f>IF(OR($D$18&lt;&gt;"READY",Assumptions!$D$8&lt;&gt;"READY"),"",IF(OR($K14="UNUSED",G$34&lt;&gt;$H14+1),0,$D14*(1-$I14)*(Assumptions!$D$18+$F14*12*(1+Assumptions!$D$21)^(G$34-1)*Assumptions!$D$19)/10000000))</x:f>
        <x:v>0</x:v>
      </x:c>
      <x:c r="H42" s="15" t="n">
        <x:f>IF(OR($D$18&lt;&gt;"READY",Assumptions!$D$8&lt;&gt;"READY"),"",IF(OR($K14="UNUSED",H$34&lt;&gt;$H14+1),0,$D14*(1-$I14)*(Assumptions!$D$18+$F14*12*(1+Assumptions!$D$21)^(H$34-1)*Assumptions!$D$19)/10000000))</x:f>
        <x:v>0</x:v>
      </x:c>
      <x:c r="I42" s="15" t="n">
        <x:f>IF(OR($D$18&lt;&gt;"READY",Assumptions!$D$8&lt;&gt;"READY"),"",IF(OR($K14="UNUSED",I$34&lt;&gt;$H14+1),0,$D14*(1-$I14)*(Assumptions!$D$18+$F14*12*(1+Assumptions!$D$21)^(I$34-1)*Assumptions!$D$19)/10000000))</x:f>
        <x:v>0</x:v>
      </x:c>
      <x:c r="J42" s="15" t="n">
        <x:f>IF(OR($D$18&lt;&gt;"READY",Assumptions!$D$8&lt;&gt;"READY"),"",IF(OR($K14="UNUSED",J$34&lt;&gt;$H14+1),0,$D14*(1-$I14)*(Assumptions!$D$18+$F14*12*(1+Assumptions!$D$21)^(J$34-1)*Assumptions!$D$19)/10000000))</x:f>
        <x:v>0</x:v>
      </x:c>
      <x:c r="K42" s="15" t="n">
        <x:f>IF(OR($D$18&lt;&gt;"READY",Assumptions!$D$8&lt;&gt;"READY"),"",IF(OR($K14="UNUSED",K$34&lt;&gt;$H14+1),0,$D14*(1-$I14)*(Assumptions!$D$18+$F14*12*(1+Assumptions!$D$21)^(K$34-1)*Assumptions!$D$19)/10000000))</x:f>
        <x:v>0</x:v>
      </x:c>
      <x:c r="L42" s="15" t="n">
        <x:f>IF(OR($D$18&lt;&gt;"READY",Assumptions!$D$8&lt;&gt;"READY"),"",IF(OR($K14="UNUSED",L$34&lt;&gt;$H14+1),0,$D14*(1-$I14)*(Assumptions!$D$18+$F14*12*(1+Assumptions!$D$21)^(L$34-1)*Assumptions!$D$19)/10000000))</x:f>
        <x:v>0</x:v>
      </x:c>
      <x:c r="M42" s="15" t="n">
        <x:f>IF(OR($D$18&lt;&gt;"READY",Assumptions!$D$8&lt;&gt;"READY"),"",IF(OR($K14="UNUSED",M$34&lt;&gt;$H14+1),0,$D14*(1-$I14)*(Assumptions!$D$18+$F14*12*(1+Assumptions!$D$21)^(M$34-1)*Assumptions!$D$19)/10000000))</x:f>
        <x:v>0</x:v>
      </x:c>
      <x:c r="N42" s="15" t="n">
        <x:f>IF(OR($D$18&lt;&gt;"READY",Assumptions!$D$8&lt;&gt;"READY"),"",IF(OR($K14="UNUSED",N$34&lt;&gt;$H14+1),0,$D14*(1-$I14)*(Assumptions!$D$18+$F14*12*(1+Assumptions!$D$21)^(N$34-1)*Assumptions!$D$19)/10000000))</x:f>
        <x:v>0</x:v>
      </x:c>
      <x:c r="O42" s="1"/>
    </x:row>
    <x:row r="43" ht="22" customHeight="1">
      <x:c r="A43" s="1"/>
      <x:c r="B43" s="1"/>
      <x:c r="C43" s="1" t="str">
        <x:v>Cohort 9 TI + fees</x:v>
      </x:c>
      <x:c r="D43" s="15" t="n">
        <x:f>IF(OR($D$18&lt;&gt;"READY",Assumptions!$D$8&lt;&gt;"READY"),"",IF(OR($K15="UNUSED",D$34&lt;&gt;$H15+1),0,$D15*(1-$I15)*(Assumptions!$D$18+$F15*12*(1+Assumptions!$D$21)^(D$34-1)*Assumptions!$D$19)/10000000))</x:f>
        <x:v>0</x:v>
      </x:c>
      <x:c r="E43" s="15" t="n">
        <x:f>IF(OR($D$18&lt;&gt;"READY",Assumptions!$D$8&lt;&gt;"READY"),"",IF(OR($K15="UNUSED",E$34&lt;&gt;$H15+1),0,$D15*(1-$I15)*(Assumptions!$D$18+$F15*12*(1+Assumptions!$D$21)^(E$34-1)*Assumptions!$D$19)/10000000))</x:f>
        <x:v>0</x:v>
      </x:c>
      <x:c r="F43" s="15" t="n">
        <x:f>IF(OR($D$18&lt;&gt;"READY",Assumptions!$D$8&lt;&gt;"READY"),"",IF(OR($K15="UNUSED",F$34&lt;&gt;$H15+1),0,$D15*(1-$I15)*(Assumptions!$D$18+$F15*12*(1+Assumptions!$D$21)^(F$34-1)*Assumptions!$D$19)/10000000))</x:f>
        <x:v>0</x:v>
      </x:c>
      <x:c r="G43" s="15" t="n">
        <x:f>IF(OR($D$18&lt;&gt;"READY",Assumptions!$D$8&lt;&gt;"READY"),"",IF(OR($K15="UNUSED",G$34&lt;&gt;$H15+1),0,$D15*(1-$I15)*(Assumptions!$D$18+$F15*12*(1+Assumptions!$D$21)^(G$34-1)*Assumptions!$D$19)/10000000))</x:f>
        <x:v>0</x:v>
      </x:c>
      <x:c r="H43" s="15" t="n">
        <x:f>IF(OR($D$18&lt;&gt;"READY",Assumptions!$D$8&lt;&gt;"READY"),"",IF(OR($K15="UNUSED",H$34&lt;&gt;$H15+1),0,$D15*(1-$I15)*(Assumptions!$D$18+$F15*12*(1+Assumptions!$D$21)^(H$34-1)*Assumptions!$D$19)/10000000))</x:f>
        <x:v>0</x:v>
      </x:c>
      <x:c r="I43" s="15" t="n">
        <x:f>IF(OR($D$18&lt;&gt;"READY",Assumptions!$D$8&lt;&gt;"READY"),"",IF(OR($K15="UNUSED",I$34&lt;&gt;$H15+1),0,$D15*(1-$I15)*(Assumptions!$D$18+$F15*12*(1+Assumptions!$D$21)^(I$34-1)*Assumptions!$D$19)/10000000))</x:f>
        <x:v>0</x:v>
      </x:c>
      <x:c r="J43" s="15" t="n">
        <x:f>IF(OR($D$18&lt;&gt;"READY",Assumptions!$D$8&lt;&gt;"READY"),"",IF(OR($K15="UNUSED",J$34&lt;&gt;$H15+1),0,$D15*(1-$I15)*(Assumptions!$D$18+$F15*12*(1+Assumptions!$D$21)^(J$34-1)*Assumptions!$D$19)/10000000))</x:f>
        <x:v>0</x:v>
      </x:c>
      <x:c r="K43" s="15" t="n">
        <x:f>IF(OR($D$18&lt;&gt;"READY",Assumptions!$D$8&lt;&gt;"READY"),"",IF(OR($K15="UNUSED",K$34&lt;&gt;$H15+1),0,$D15*(1-$I15)*(Assumptions!$D$18+$F15*12*(1+Assumptions!$D$21)^(K$34-1)*Assumptions!$D$19)/10000000))</x:f>
        <x:v>0</x:v>
      </x:c>
      <x:c r="L43" s="15" t="n">
        <x:f>IF(OR($D$18&lt;&gt;"READY",Assumptions!$D$8&lt;&gt;"READY"),"",IF(OR($K15="UNUSED",L$34&lt;&gt;$H15+1),0,$D15*(1-$I15)*(Assumptions!$D$18+$F15*12*(1+Assumptions!$D$21)^(L$34-1)*Assumptions!$D$19)/10000000))</x:f>
        <x:v>0</x:v>
      </x:c>
      <x:c r="M43" s="15" t="n">
        <x:f>IF(OR($D$18&lt;&gt;"READY",Assumptions!$D$8&lt;&gt;"READY"),"",IF(OR($K15="UNUSED",M$34&lt;&gt;$H15+1),0,$D15*(1-$I15)*(Assumptions!$D$18+$F15*12*(1+Assumptions!$D$21)^(M$34-1)*Assumptions!$D$19)/10000000))</x:f>
        <x:v>0</x:v>
      </x:c>
      <x:c r="N43" s="15" t="n">
        <x:f>IF(OR($D$18&lt;&gt;"READY",Assumptions!$D$8&lt;&gt;"READY"),"",IF(OR($K15="UNUSED",N$34&lt;&gt;$H15+1),0,$D15*(1-$I15)*(Assumptions!$D$18+$F15*12*(1+Assumptions!$D$21)^(N$34-1)*Assumptions!$D$19)/10000000))</x:f>
        <x:v>0</x:v>
      </x:c>
      <x:c r="O43" s="1"/>
    </x:row>
    <x:row r="44" ht="22" customHeight="1">
      <x:c r="A44" s="1"/>
      <x:c r="B44" s="1"/>
      <x:c r="C44" s="1" t="str">
        <x:v>Cohort 10 TI + fees</x:v>
      </x:c>
      <x:c r="D44" s="15" t="n">
        <x:f>IF(OR($D$18&lt;&gt;"READY",Assumptions!$D$8&lt;&gt;"READY"),"",IF(OR($K16="UNUSED",D$34&lt;&gt;$H16+1),0,$D16*(1-$I16)*(Assumptions!$D$18+$F16*12*(1+Assumptions!$D$21)^(D$34-1)*Assumptions!$D$19)/10000000))</x:f>
        <x:v>0</x:v>
      </x:c>
      <x:c r="E44" s="15" t="n">
        <x:f>IF(OR($D$18&lt;&gt;"READY",Assumptions!$D$8&lt;&gt;"READY"),"",IF(OR($K16="UNUSED",E$34&lt;&gt;$H16+1),0,$D16*(1-$I16)*(Assumptions!$D$18+$F16*12*(1+Assumptions!$D$21)^(E$34-1)*Assumptions!$D$19)/10000000))</x:f>
        <x:v>0</x:v>
      </x:c>
      <x:c r="F44" s="15" t="n">
        <x:f>IF(OR($D$18&lt;&gt;"READY",Assumptions!$D$8&lt;&gt;"READY"),"",IF(OR($K16="UNUSED",F$34&lt;&gt;$H16+1),0,$D16*(1-$I16)*(Assumptions!$D$18+$F16*12*(1+Assumptions!$D$21)^(F$34-1)*Assumptions!$D$19)/10000000))</x:f>
        <x:v>0</x:v>
      </x:c>
      <x:c r="G44" s="15" t="n">
        <x:f>IF(OR($D$18&lt;&gt;"READY",Assumptions!$D$8&lt;&gt;"READY"),"",IF(OR($K16="UNUSED",G$34&lt;&gt;$H16+1),0,$D16*(1-$I16)*(Assumptions!$D$18+$F16*12*(1+Assumptions!$D$21)^(G$34-1)*Assumptions!$D$19)/10000000))</x:f>
        <x:v>0</x:v>
      </x:c>
      <x:c r="H44" s="15" t="n">
        <x:f>IF(OR($D$18&lt;&gt;"READY",Assumptions!$D$8&lt;&gt;"READY"),"",IF(OR($K16="UNUSED",H$34&lt;&gt;$H16+1),0,$D16*(1-$I16)*(Assumptions!$D$18+$F16*12*(1+Assumptions!$D$21)^(H$34-1)*Assumptions!$D$19)/10000000))</x:f>
        <x:v>0</x:v>
      </x:c>
      <x:c r="I44" s="15" t="n">
        <x:f>IF(OR($D$18&lt;&gt;"READY",Assumptions!$D$8&lt;&gt;"READY"),"",IF(OR($K16="UNUSED",I$34&lt;&gt;$H16+1),0,$D16*(1-$I16)*(Assumptions!$D$18+$F16*12*(1+Assumptions!$D$21)^(I$34-1)*Assumptions!$D$19)/10000000))</x:f>
        <x:v>0</x:v>
      </x:c>
      <x:c r="J44" s="15" t="n">
        <x:f>IF(OR($D$18&lt;&gt;"READY",Assumptions!$D$8&lt;&gt;"READY"),"",IF(OR($K16="UNUSED",J$34&lt;&gt;$H16+1),0,$D16*(1-$I16)*(Assumptions!$D$18+$F16*12*(1+Assumptions!$D$21)^(J$34-1)*Assumptions!$D$19)/10000000))</x:f>
        <x:v>0</x:v>
      </x:c>
      <x:c r="K44" s="15" t="n">
        <x:f>IF(OR($D$18&lt;&gt;"READY",Assumptions!$D$8&lt;&gt;"READY"),"",IF(OR($K16="UNUSED",K$34&lt;&gt;$H16+1),0,$D16*(1-$I16)*(Assumptions!$D$18+$F16*12*(1+Assumptions!$D$21)^(K$34-1)*Assumptions!$D$19)/10000000))</x:f>
        <x:v>0</x:v>
      </x:c>
      <x:c r="L44" s="15" t="n">
        <x:f>IF(OR($D$18&lt;&gt;"READY",Assumptions!$D$8&lt;&gt;"READY"),"",IF(OR($K16="UNUSED",L$34&lt;&gt;$H16+1),0,$D16*(1-$I16)*(Assumptions!$D$18+$F16*12*(1+Assumptions!$D$21)^(L$34-1)*Assumptions!$D$19)/10000000))</x:f>
        <x:v>0</x:v>
      </x:c>
      <x:c r="M44" s="15" t="n">
        <x:f>IF(OR($D$18&lt;&gt;"READY",Assumptions!$D$8&lt;&gt;"READY"),"",IF(OR($K16="UNUSED",M$34&lt;&gt;$H16+1),0,$D16*(1-$I16)*(Assumptions!$D$18+$F16*12*(1+Assumptions!$D$21)^(M$34-1)*Assumptions!$D$19)/10000000))</x:f>
        <x:v>0</x:v>
      </x:c>
      <x:c r="N44" s="15" t="n">
        <x:f>IF(OR($D$18&lt;&gt;"READY",Assumptions!$D$8&lt;&gt;"READY"),"",IF(OR($K16="UNUSED",N$34&lt;&gt;$H16+1),0,$D16*(1-$I16)*(Assumptions!$D$18+$F16*12*(1+Assumptions!$D$21)^(N$34-1)*Assumptions!$D$19)/10000000))</x:f>
        <x:v>0</x:v>
      </x:c>
      <x:c r="O44" s="1"/>
    </x:row>
    <x:row r="45" ht="22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 t="str">
        <x:v>All rent inputs are INR/sqft/month. Forecast cash flows are INR crore.</x:v>
      </x:c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 t="str">
        <x:v>ASSUMPTIONS: 3% annual escalation; year-5 expiry; 70% renewal; 6-month downtime. Not actual lease terms.</x:v>
      </x:c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 t="str">
        <x:v>Aggregate occupied cohort; no tenant names or fabricated tenant-level leases.</x:v>
      </x:c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Operating Cash Flow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3"/>
      <x:c r="D5" s="23" t="n">
        <x:v>1</x:v>
      </x:c>
      <x:c r="E5" s="23" t="n">
        <x:v>2</x:v>
      </x:c>
      <x:c r="F5" s="23" t="n">
        <x:v>3</x:v>
      </x:c>
      <x:c r="G5" s="23" t="n">
        <x:v>4</x:v>
      </x:c>
      <x:c r="H5" s="23" t="n">
        <x:v>5</x:v>
      </x:c>
      <x:c r="I5" s="23" t="n">
        <x:v>6</x:v>
      </x:c>
      <x:c r="J5" s="23" t="n">
        <x:v>7</x:v>
      </x:c>
      <x:c r="K5" s="23" t="n">
        <x:v>8</x:v>
      </x:c>
      <x:c r="L5" s="23" t="n">
        <x:v>9</x:v>
      </x:c>
      <x:c r="M5" s="23" t="n">
        <x:v>10</x:v>
      </x:c>
      <x:c r="N5" s="23" t="n">
        <x:v>11</x:v>
      </x:c>
      <x:c r="O5" s="1"/>
    </x:row>
    <x:row r="6" ht="22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" t="str">
        <x:v>Gross rental income</x:v>
      </x:c>
      <x:c r="D7" s="15" t="n">
        <x:f>IF(OR(Assumptions!$D$8&lt;&gt;"READY",'Rent Roll'!$D$18&lt;&gt;"READY"),"",SUM('Rent Roll'!D21:D30))</x:f>
        <x:v>1596.7728000000002</x:v>
      </x:c>
      <x:c r="E7" s="15" t="n">
        <x:f>IF(OR(Assumptions!$D$8&lt;&gt;"READY",'Rent Roll'!$D$18&lt;&gt;"READY"),"",SUM('Rent Roll'!E21:E30))</x:f>
        <x:v>1644.6759840000002</x:v>
      </x:c>
      <x:c r="F7" s="15" t="n">
        <x:f>IF(OR(Assumptions!$D$8&lt;&gt;"READY",'Rent Roll'!$D$18&lt;&gt;"READY"),"",SUM('Rent Roll'!F21:F30))</x:f>
        <x:v>1694.0162635200002</x:v>
      </x:c>
      <x:c r="G7" s="15" t="n">
        <x:f>IF(OR(Assumptions!$D$8&lt;&gt;"READY",'Rent Roll'!$D$18&lt;&gt;"READY"),"",SUM('Rent Roll'!G21:G30))</x:f>
        <x:v>1744.8367514256001</x:v>
      </x:c>
      <x:c r="H7" s="15" t="n">
        <x:f>IF(OR(Assumptions!$D$8&lt;&gt;"READY",'Rent Roll'!$D$18&lt;&gt;"READY"),"",SUM('Rent Roll'!H21:H30))</x:f>
        <x:v>1797.1818539683684</x:v>
      </x:c>
      <x:c r="I7" s="15" t="n">
        <x:f>IF(OR(Assumptions!$D$8&lt;&gt;"READY",'Rent Roll'!$D$18&lt;&gt;"READY"),"",SUM('Rent Roll'!I21:I30))</x:f>
        <x:v>1685.8207640885425</x:v>
      </x:c>
      <x:c r="J7" s="15" t="n">
        <x:f>IF(OR(Assumptions!$D$8&lt;&gt;"READY",'Rent Roll'!$D$18&lt;&gt;"READY"),"",SUM('Rent Roll'!J21:J30))</x:f>
        <x:v>2042.8181023661166</x:v>
      </x:c>
      <x:c r="K7" s="15" t="n">
        <x:f>IF(OR(Assumptions!$D$8&lt;&gt;"READY",'Rent Roll'!$D$18&lt;&gt;"READY"),"",SUM('Rent Roll'!K21:K30))</x:f>
        <x:v>2104.1026454371</x:v>
      </x:c>
      <x:c r="L7" s="15" t="n">
        <x:f>IF(OR(Assumptions!$D$8&lt;&gt;"READY",'Rent Roll'!$D$18&lt;&gt;"READY"),"",SUM('Rent Roll'!L21:L30))</x:f>
        <x:v>2167.2257248002134</x:v>
      </x:c>
      <x:c r="M7" s="15" t="n">
        <x:f>IF(OR(Assumptions!$D$8&lt;&gt;"READY",'Rent Roll'!$D$18&lt;&gt;"READY"),"",SUM('Rent Roll'!M21:M30))</x:f>
        <x:v>2232.2424965442196</x:v>
      </x:c>
      <x:c r="N7" s="15" t="n">
        <x:f>IF(OR(Assumptions!$D$8&lt;&gt;"READY",'Rent Roll'!$D$18&lt;&gt;"READY"),"",SUM('Rent Roll'!N21:N30))</x:f>
        <x:v>2299.2097714405463</x:v>
      </x:c>
      <x:c r="O7" s="1"/>
    </x:row>
    <x:row r="8" ht="22" customHeight="1">
      <x:c r="A8" s="1"/>
      <x:c r="B8" s="1"/>
      <x:c r="C8" s="1" t="str">
        <x:v>Collection loss</x:v>
      </x:c>
      <x:c r="D8" s="15" t="n">
        <x:f>IF(OR(Assumptions!$D$8&lt;&gt;"READY",'Rent Roll'!$D$18&lt;&gt;"READY"),"",D7*Assumptions!$D$25)</x:f>
        <x:v>0</x:v>
      </x:c>
      <x:c r="E8" s="15" t="n">
        <x:f>IF(OR(Assumptions!$D$8&lt;&gt;"READY",'Rent Roll'!$D$18&lt;&gt;"READY"),"",E7*Assumptions!$D$25)</x:f>
        <x:v>0</x:v>
      </x:c>
      <x:c r="F8" s="15" t="n">
        <x:f>IF(OR(Assumptions!$D$8&lt;&gt;"READY",'Rent Roll'!$D$18&lt;&gt;"READY"),"",F7*Assumptions!$D$25)</x:f>
        <x:v>0</x:v>
      </x:c>
      <x:c r="G8" s="15" t="n">
        <x:f>IF(OR(Assumptions!$D$8&lt;&gt;"READY",'Rent Roll'!$D$18&lt;&gt;"READY"),"",G7*Assumptions!$D$25)</x:f>
        <x:v>0</x:v>
      </x:c>
      <x:c r="H8" s="15" t="n">
        <x:f>IF(OR(Assumptions!$D$8&lt;&gt;"READY",'Rent Roll'!$D$18&lt;&gt;"READY"),"",H7*Assumptions!$D$25)</x:f>
        <x:v>0</x:v>
      </x:c>
      <x:c r="I8" s="15" t="n">
        <x:f>IF(OR(Assumptions!$D$8&lt;&gt;"READY",'Rent Roll'!$D$18&lt;&gt;"READY"),"",I7*Assumptions!$D$25)</x:f>
        <x:v>0</x:v>
      </x:c>
      <x:c r="J8" s="15" t="n">
        <x:f>IF(OR(Assumptions!$D$8&lt;&gt;"READY",'Rent Roll'!$D$18&lt;&gt;"READY"),"",J7*Assumptions!$D$25)</x:f>
        <x:v>0</x:v>
      </x:c>
      <x:c r="K8" s="15" t="n">
        <x:f>IF(OR(Assumptions!$D$8&lt;&gt;"READY",'Rent Roll'!$D$18&lt;&gt;"READY"),"",K7*Assumptions!$D$25)</x:f>
        <x:v>0</x:v>
      </x:c>
      <x:c r="L8" s="15" t="n">
        <x:f>IF(OR(Assumptions!$D$8&lt;&gt;"READY",'Rent Roll'!$D$18&lt;&gt;"READY"),"",L7*Assumptions!$D$25)</x:f>
        <x:v>0</x:v>
      </x:c>
      <x:c r="M8" s="15" t="n">
        <x:f>IF(OR(Assumptions!$D$8&lt;&gt;"READY",'Rent Roll'!$D$18&lt;&gt;"READY"),"",M7*Assumptions!$D$25)</x:f>
        <x:v>0</x:v>
      </x:c>
      <x:c r="N8" s="15" t="n">
        <x:f>IF(OR(Assumptions!$D$8&lt;&gt;"READY",'Rent Roll'!$D$18&lt;&gt;"READY"),"",N7*Assumptions!$D$25)</x:f>
        <x:v>0</x:v>
      </x:c>
      <x:c r="O8" s="1"/>
    </x:row>
    <x:row r="9" ht="22" customHeight="1">
      <x:c r="A9" s="1"/>
      <x:c r="B9" s="1"/>
      <x:c r="C9" s="1" t="str">
        <x:v>Effective gross income</x:v>
      </x:c>
      <x:c r="D9" s="15" t="n">
        <x:f>IF(OR(Assumptions!$D$8&lt;&gt;"READY",'Rent Roll'!$D$18&lt;&gt;"READY"),"",D7-D8)</x:f>
        <x:v>1596.7728000000002</x:v>
      </x:c>
      <x:c r="E9" s="15" t="n">
        <x:f>IF(OR(Assumptions!$D$8&lt;&gt;"READY",'Rent Roll'!$D$18&lt;&gt;"READY"),"",E7-E8)</x:f>
        <x:v>1644.6759840000002</x:v>
      </x:c>
      <x:c r="F9" s="15" t="n">
        <x:f>IF(OR(Assumptions!$D$8&lt;&gt;"READY",'Rent Roll'!$D$18&lt;&gt;"READY"),"",F7-F8)</x:f>
        <x:v>1694.0162635200002</x:v>
      </x:c>
      <x:c r="G9" s="15" t="n">
        <x:f>IF(OR(Assumptions!$D$8&lt;&gt;"READY",'Rent Roll'!$D$18&lt;&gt;"READY"),"",G7-G8)</x:f>
        <x:v>1744.8367514256001</x:v>
      </x:c>
      <x:c r="H9" s="15" t="n">
        <x:f>IF(OR(Assumptions!$D$8&lt;&gt;"READY",'Rent Roll'!$D$18&lt;&gt;"READY"),"",H7-H8)</x:f>
        <x:v>1797.1818539683684</x:v>
      </x:c>
      <x:c r="I9" s="15" t="n">
        <x:f>IF(OR(Assumptions!$D$8&lt;&gt;"READY",'Rent Roll'!$D$18&lt;&gt;"READY"),"",I7-I8)</x:f>
        <x:v>1685.8207640885425</x:v>
      </x:c>
      <x:c r="J9" s="15" t="n">
        <x:f>IF(OR(Assumptions!$D$8&lt;&gt;"READY",'Rent Roll'!$D$18&lt;&gt;"READY"),"",J7-J8)</x:f>
        <x:v>2042.8181023661166</x:v>
      </x:c>
      <x:c r="K9" s="15" t="n">
        <x:f>IF(OR(Assumptions!$D$8&lt;&gt;"READY",'Rent Roll'!$D$18&lt;&gt;"READY"),"",K7-K8)</x:f>
        <x:v>2104.1026454371</x:v>
      </x:c>
      <x:c r="L9" s="15" t="n">
        <x:f>IF(OR(Assumptions!$D$8&lt;&gt;"READY",'Rent Roll'!$D$18&lt;&gt;"READY"),"",L7-L8)</x:f>
        <x:v>2167.2257248002134</x:v>
      </x:c>
      <x:c r="M9" s="15" t="n">
        <x:f>IF(OR(Assumptions!$D$8&lt;&gt;"READY",'Rent Roll'!$D$18&lt;&gt;"READY"),"",M7-M8)</x:f>
        <x:v>2232.2424965442196</x:v>
      </x:c>
      <x:c r="N9" s="15" t="n">
        <x:f>IF(OR(Assumptions!$D$8&lt;&gt;"READY",'Rent Roll'!$D$18&lt;&gt;"READY"),"",N7-N8)</x:f>
        <x:v>2299.2097714405463</x:v>
      </x:c>
      <x:c r="O9" s="1"/>
    </x:row>
    <x:row r="10" ht="22" customHeight="1">
      <x:c r="A10" s="1"/>
      <x:c r="B10" s="1"/>
      <x:c r="C10" s="1" t="str">
        <x:v>Operating expenses</x:v>
      </x:c>
      <x:c r="D10" s="15" t="n">
        <x:f>IF(OR(Assumptions!$D$8&lt;&gt;"READY",'Rent Roll'!$D$18&lt;&gt;"READY"),"",SUM('Rent Roll'!$D$7:$D$16)*Assumptions!$D$15*(1+Assumptions!$D$16)^(D$5-1)/10000000)</x:f>
        <x:v>199.9728</x:v>
      </x:c>
      <x:c r="E10" s="15" t="n">
        <x:f>IF(OR(Assumptions!$D$8&lt;&gt;"READY",'Rent Roll'!$D$18&lt;&gt;"READY"),"",SUM('Rent Roll'!$D$7:$D$16)*Assumptions!$D$15*(1+Assumptions!$D$16)^(E$5-1)/10000000)</x:f>
        <x:v>205.971984</x:v>
      </x:c>
      <x:c r="F10" s="15" t="n">
        <x:f>IF(OR(Assumptions!$D$8&lt;&gt;"READY",'Rent Roll'!$D$18&lt;&gt;"READY"),"",SUM('Rent Roll'!$D$7:$D$16)*Assumptions!$D$15*(1+Assumptions!$D$16)^(F$5-1)/10000000)</x:f>
        <x:v>212.15114351999998</x:v>
      </x:c>
      <x:c r="G10" s="15" t="n">
        <x:f>IF(OR(Assumptions!$D$8&lt;&gt;"READY",'Rent Roll'!$D$18&lt;&gt;"READY"),"",SUM('Rent Roll'!$D$7:$D$16)*Assumptions!$D$15*(1+Assumptions!$D$16)^(G$5-1)/10000000)</x:f>
        <x:v>218.5156778256</x:v>
      </x:c>
      <x:c r="H10" s="15" t="n">
        <x:f>IF(OR(Assumptions!$D$8&lt;&gt;"READY",'Rent Roll'!$D$18&lt;&gt;"READY"),"",SUM('Rent Roll'!$D$7:$D$16)*Assumptions!$D$15*(1+Assumptions!$D$16)^(H$5-1)/10000000)</x:f>
        <x:v>225.071148160368</x:v>
      </x:c>
      <x:c r="I10" s="15" t="n">
        <x:f>IF(OR(Assumptions!$D$8&lt;&gt;"READY",'Rent Roll'!$D$18&lt;&gt;"READY"),"",SUM('Rent Roll'!$D$7:$D$16)*Assumptions!$D$15*(1+Assumptions!$D$16)^(I$5-1)/10000000)</x:f>
        <x:v>231.82328260517906</x:v>
      </x:c>
      <x:c r="J10" s="15" t="n">
        <x:f>IF(OR(Assumptions!$D$8&lt;&gt;"READY",'Rent Roll'!$D$18&lt;&gt;"READY"),"",SUM('Rent Roll'!$D$7:$D$16)*Assumptions!$D$15*(1+Assumptions!$D$16)^(J$5-1)/10000000)</x:f>
        <x:v>238.77798108333445</x:v>
      </x:c>
      <x:c r="K10" s="15" t="n">
        <x:f>IF(OR(Assumptions!$D$8&lt;&gt;"READY",'Rent Roll'!$D$18&lt;&gt;"READY"),"",SUM('Rent Roll'!$D$7:$D$16)*Assumptions!$D$15*(1+Assumptions!$D$16)^(K$5-1)/10000000)</x:f>
        <x:v>245.94132051583446</x:v>
      </x:c>
      <x:c r="L10" s="15" t="n">
        <x:f>IF(OR(Assumptions!$D$8&lt;&gt;"READY",'Rent Roll'!$D$18&lt;&gt;"READY"),"",SUM('Rent Roll'!$D$7:$D$16)*Assumptions!$D$15*(1+Assumptions!$D$16)^(L$5-1)/10000000)</x:f>
        <x:v>253.31956013130952</x:v>
      </x:c>
      <x:c r="M10" s="15" t="n">
        <x:f>IF(OR(Assumptions!$D$8&lt;&gt;"READY",'Rent Roll'!$D$18&lt;&gt;"READY"),"",SUM('Rent Roll'!$D$7:$D$16)*Assumptions!$D$15*(1+Assumptions!$D$16)^(M$5-1)/10000000)</x:f>
        <x:v>260.9191469352488</x:v>
      </x:c>
      <x:c r="N10" s="15" t="n">
        <x:f>IF(OR(Assumptions!$D$8&lt;&gt;"READY",'Rent Roll'!$D$18&lt;&gt;"READY"),"",SUM('Rent Roll'!$D$7:$D$16)*Assumptions!$D$15*(1+Assumptions!$D$16)^(N$5-1)/10000000)</x:f>
        <x:v>268.7467213433063</x:v>
      </x:c>
      <x:c r="O10" s="1"/>
    </x:row>
    <x:row r="11" ht="22" customHeight="1">
      <x:c r="A11" s="1"/>
      <x:c r="B11" s="1"/>
      <x:c r="C11" s="1" t="str">
        <x:v>Net operating income</x:v>
      </x:c>
      <x:c r="D11" s="15" t="n">
        <x:f>IF(OR(Assumptions!$D$8&lt;&gt;"READY",'Rent Roll'!$D$18&lt;&gt;"READY"),"",D9-D10)</x:f>
        <x:v>1396.8000000000002</x:v>
      </x:c>
      <x:c r="E11" s="15" t="n">
        <x:f>IF(OR(Assumptions!$D$8&lt;&gt;"READY",'Rent Roll'!$D$18&lt;&gt;"READY"),"",E9-E10)</x:f>
        <x:v>1438.7040000000002</x:v>
      </x:c>
      <x:c r="F11" s="15" t="n">
        <x:f>IF(OR(Assumptions!$D$8&lt;&gt;"READY",'Rent Roll'!$D$18&lt;&gt;"READY"),"",F9-F10)</x:f>
        <x:v>1481.8651200000002</x:v>
      </x:c>
      <x:c r="G11" s="15" t="n">
        <x:f>IF(OR(Assumptions!$D$8&lt;&gt;"READY",'Rent Roll'!$D$18&lt;&gt;"READY"),"",G9-G10)</x:f>
        <x:v>1526.3210736</x:v>
      </x:c>
      <x:c r="H11" s="15" t="n">
        <x:f>IF(OR(Assumptions!$D$8&lt;&gt;"READY",'Rent Roll'!$D$18&lt;&gt;"READY"),"",H9-H10)</x:f>
        <x:v>1572.1107058080004</x:v>
      </x:c>
      <x:c r="I11" s="15" t="n">
        <x:f>IF(OR(Assumptions!$D$8&lt;&gt;"READY",'Rent Roll'!$D$18&lt;&gt;"READY"),"",I9-I10)</x:f>
        <x:v>1453.9974814833636</x:v>
      </x:c>
      <x:c r="J11" s="15" t="n">
        <x:f>IF(OR(Assumptions!$D$8&lt;&gt;"READY",'Rent Roll'!$D$18&lt;&gt;"READY"),"",J9-J10)</x:f>
        <x:v>1804.0401212827821</x:v>
      </x:c>
      <x:c r="K11" s="15" t="n">
        <x:f>IF(OR(Assumptions!$D$8&lt;&gt;"READY",'Rent Roll'!$D$18&lt;&gt;"READY"),"",K9-K10)</x:f>
        <x:v>1858.1613249212655</x:v>
      </x:c>
      <x:c r="L11" s="15" t="n">
        <x:f>IF(OR(Assumptions!$D$8&lt;&gt;"READY",'Rent Roll'!$D$18&lt;&gt;"READY"),"",L9-L10)</x:f>
        <x:v>1913.9061646689038</x:v>
      </x:c>
      <x:c r="M11" s="15" t="n">
        <x:f>IF(OR(Assumptions!$D$8&lt;&gt;"READY",'Rent Roll'!$D$18&lt;&gt;"READY"),"",M9-M10)</x:f>
        <x:v>1971.3233496089708</x:v>
      </x:c>
      <x:c r="N11" s="15" t="n">
        <x:f>IF(OR(Assumptions!$D$8&lt;&gt;"READY",'Rent Roll'!$D$18&lt;&gt;"READY"),"",N9-N10)</x:f>
        <x:v>2030.46305009724</x:v>
      </x:c>
      <x:c r="O11" s="1"/>
    </x:row>
    <x:row r="12" ht="22" customHeight="1">
      <x:c r="A12" s="1"/>
      <x:c r="B12" s="1"/>
      <x:c r="C12" s="1" t="str">
        <x:v>Recurring capex reserve</x:v>
      </x:c>
      <x:c r="D12" s="15" t="n">
        <x:f>IF(OR(Assumptions!$D$8&lt;&gt;"READY",'Rent Roll'!$D$18&lt;&gt;"READY"),"",SUM('Rent Roll'!$D$7:$D$16)*Assumptions!$D$17*(1+Assumptions!$D$16)^(D$5-1)/10000000)</x:f>
        <x:v>40.734</x:v>
      </x:c>
      <x:c r="E12" s="15" t="n">
        <x:f>IF(OR(Assumptions!$D$8&lt;&gt;"READY",'Rent Roll'!$D$18&lt;&gt;"READY"),"",SUM('Rent Roll'!$D$7:$D$16)*Assumptions!$D$17*(1+Assumptions!$D$16)^(E$5-1)/10000000)</x:f>
        <x:v>41.95602</x:v>
      </x:c>
      <x:c r="F12" s="15" t="n">
        <x:f>IF(OR(Assumptions!$D$8&lt;&gt;"READY",'Rent Roll'!$D$18&lt;&gt;"READY"),"",SUM('Rent Roll'!$D$7:$D$16)*Assumptions!$D$17*(1+Assumptions!$D$16)^(F$5-1)/10000000)</x:f>
        <x:v>43.2147006</x:v>
      </x:c>
      <x:c r="G12" s="15" t="n">
        <x:f>IF(OR(Assumptions!$D$8&lt;&gt;"READY",'Rent Roll'!$D$18&lt;&gt;"READY"),"",SUM('Rent Roll'!$D$7:$D$16)*Assumptions!$D$17*(1+Assumptions!$D$16)^(G$5-1)/10000000)</x:f>
        <x:v>44.511141618</x:v>
      </x:c>
      <x:c r="H12" s="15" t="n">
        <x:f>IF(OR(Assumptions!$D$8&lt;&gt;"READY",'Rent Roll'!$D$18&lt;&gt;"READY"),"",SUM('Rent Roll'!$D$7:$D$16)*Assumptions!$D$17*(1+Assumptions!$D$16)^(H$5-1)/10000000)</x:f>
        <x:v>45.846475866540004</x:v>
      </x:c>
      <x:c r="I12" s="15" t="n">
        <x:f>IF(OR(Assumptions!$D$8&lt;&gt;"READY",'Rent Roll'!$D$18&lt;&gt;"READY"),"",SUM('Rent Roll'!$D$7:$D$16)*Assumptions!$D$17*(1+Assumptions!$D$16)^(I$5-1)/10000000)</x:f>
        <x:v>47.221870142536204</x:v>
      </x:c>
      <x:c r="J12" s="15" t="n">
        <x:f>IF(OR(Assumptions!$D$8&lt;&gt;"READY",'Rent Roll'!$D$18&lt;&gt;"READY"),"",SUM('Rent Roll'!$D$7:$D$16)*Assumptions!$D$17*(1+Assumptions!$D$16)^(J$5-1)/10000000)</x:f>
        <x:v>48.63852624681229</x:v>
      </x:c>
      <x:c r="K12" s="15" t="n">
        <x:f>IF(OR(Assumptions!$D$8&lt;&gt;"READY",'Rent Roll'!$D$18&lt;&gt;"READY"),"",SUM('Rent Roll'!$D$7:$D$16)*Assumptions!$D$17*(1+Assumptions!$D$16)^(K$5-1)/10000000)</x:f>
        <x:v>50.09768203421666</x:v>
      </x:c>
      <x:c r="L12" s="15" t="n">
        <x:f>IF(OR(Assumptions!$D$8&lt;&gt;"READY",'Rent Roll'!$D$18&lt;&gt;"READY"),"",SUM('Rent Roll'!$D$7:$D$16)*Assumptions!$D$17*(1+Assumptions!$D$16)^(L$5-1)/10000000)</x:f>
        <x:v>51.60061249524317</x:v>
      </x:c>
      <x:c r="M12" s="15" t="n">
        <x:f>IF(OR(Assumptions!$D$8&lt;&gt;"READY",'Rent Roll'!$D$18&lt;&gt;"READY"),"",SUM('Rent Roll'!$D$7:$D$16)*Assumptions!$D$17*(1+Assumptions!$D$16)^(M$5-1)/10000000)</x:f>
        <x:v>53.14863087010046</x:v>
      </x:c>
      <x:c r="N12" s="15" t="n">
        <x:f>IF(OR(Assumptions!$D$8&lt;&gt;"READY",'Rent Roll'!$D$18&lt;&gt;"READY"),"",SUM('Rent Roll'!$D$7:$D$16)*Assumptions!$D$17*(1+Assumptions!$D$16)^(N$5-1)/10000000)</x:f>
        <x:v>54.74308979620347</x:v>
      </x:c>
      <x:c r="O12" s="1"/>
    </x:row>
    <x:row r="13" ht="22" customHeight="1">
      <x:c r="A13" s="1"/>
      <x:c r="B13" s="1"/>
      <x:c r="C13" s="1" t="str">
        <x:v>Tenant improvements + fees</x:v>
      </x:c>
      <x:c r="D13" s="15" t="n">
        <x:f>IF(OR(Assumptions!$D$8&lt;&gt;"READY",'Rent Roll'!$D$18&lt;&gt;"READY"),"",SUM('Rent Roll'!D35:D44))</x:f>
        <x:v>0</x:v>
      </x:c>
      <x:c r="E13" s="15" t="n">
        <x:f>IF(OR(Assumptions!$D$8&lt;&gt;"READY",'Rent Roll'!$D$18&lt;&gt;"READY"),"",SUM('Rent Roll'!E35:E44))</x:f>
        <x:v>0</x:v>
      </x:c>
      <x:c r="F13" s="15" t="n">
        <x:f>IF(OR(Assumptions!$D$8&lt;&gt;"READY",'Rent Roll'!$D$18&lt;&gt;"READY"),"",SUM('Rent Roll'!F35:F44))</x:f>
        <x:v>0</x:v>
      </x:c>
      <x:c r="G13" s="15" t="n">
        <x:f>IF(OR(Assumptions!$D$8&lt;&gt;"READY",'Rent Roll'!$D$18&lt;&gt;"READY"),"",SUM('Rent Roll'!G35:G44))</x:f>
        <x:v>0</x:v>
      </x:c>
      <x:c r="H13" s="15" t="n">
        <x:f>IF(OR(Assumptions!$D$8&lt;&gt;"READY",'Rent Roll'!$D$18&lt;&gt;"READY"),"",SUM('Rent Roll'!H35:H44))</x:f>
        <x:v>0</x:v>
      </x:c>
      <x:c r="I13" s="15" t="n">
        <x:f>IF(OR(Assumptions!$D$8&lt;&gt;"READY",'Rent Roll'!$D$18&lt;&gt;"READY"),"",SUM('Rent Roll'!I35:I44))</x:f>
        <x:v>263.16955637959563</x:v>
      </x:c>
      <x:c r="J13" s="15" t="n">
        <x:f>IF(OR(Assumptions!$D$8&lt;&gt;"READY",'Rent Roll'!$D$18&lt;&gt;"READY"),"",SUM('Rent Roll'!J35:J44))</x:f>
        <x:v>0</x:v>
      </x:c>
      <x:c r="K13" s="15" t="n">
        <x:f>IF(OR(Assumptions!$D$8&lt;&gt;"READY",'Rent Roll'!$D$18&lt;&gt;"READY"),"",SUM('Rent Roll'!K35:K44))</x:f>
        <x:v>0</x:v>
      </x:c>
      <x:c r="L13" s="15" t="n">
        <x:f>IF(OR(Assumptions!$D$8&lt;&gt;"READY",'Rent Roll'!$D$18&lt;&gt;"READY"),"",SUM('Rent Roll'!L35:L44))</x:f>
        <x:v>0</x:v>
      </x:c>
      <x:c r="M13" s="15" t="n">
        <x:f>IF(OR(Assumptions!$D$8&lt;&gt;"READY",'Rent Roll'!$D$18&lt;&gt;"READY"),"",SUM('Rent Roll'!M35:M44))</x:f>
        <x:v>0</x:v>
      </x:c>
      <x:c r="N13" s="15" t="n">
        <x:f>IF(OR(Assumptions!$D$8&lt;&gt;"READY",'Rent Roll'!$D$18&lt;&gt;"READY"),"",SUM('Rent Roll'!N35:N44))</x:f>
        <x:v>0</x:v>
      </x:c>
      <x:c r="O13" s="1"/>
    </x:row>
    <x:row r="14" ht="22" customHeight="1">
      <x:c r="A14" s="1"/>
      <x:c r="B14" s="1"/>
      <x:c r="C14" s="1" t="str">
        <x:v>Unlevered operating cash flow</x:v>
      </x:c>
      <x:c r="D14" s="15" t="n">
        <x:f>IF(OR(Assumptions!$D$8&lt;&gt;"READY",'Rent Roll'!$D$18&lt;&gt;"READY"),"",D11-D12-D13)</x:f>
        <x:v>1356.0660000000003</x:v>
      </x:c>
      <x:c r="E14" s="15" t="n">
        <x:f>IF(OR(Assumptions!$D$8&lt;&gt;"READY",'Rent Roll'!$D$18&lt;&gt;"READY"),"",E11-E12-E13)</x:f>
        <x:v>1396.74798</x:v>
      </x:c>
      <x:c r="F14" s="15" t="n">
        <x:f>IF(OR(Assumptions!$D$8&lt;&gt;"READY",'Rent Roll'!$D$18&lt;&gt;"READY"),"",F11-F12-F13)</x:f>
        <x:v>1438.6504194000001</x:v>
      </x:c>
      <x:c r="G14" s="15" t="n">
        <x:f>IF(OR(Assumptions!$D$8&lt;&gt;"READY",'Rent Roll'!$D$18&lt;&gt;"READY"),"",G11-G12-G13)</x:f>
        <x:v>1481.809931982</x:v>
      </x:c>
      <x:c r="H14" s="15" t="n">
        <x:f>IF(OR(Assumptions!$D$8&lt;&gt;"READY",'Rent Roll'!$D$18&lt;&gt;"READY"),"",H11-H12-H13)</x:f>
        <x:v>1526.2642299414604</x:v>
      </x:c>
      <x:c r="I14" s="15" t="n">
        <x:f>IF(OR(Assumptions!$D$8&lt;&gt;"READY",'Rent Roll'!$D$18&lt;&gt;"READY"),"",I11-I12-I13)</x:f>
        <x:v>1143.6060549612316</x:v>
      </x:c>
      <x:c r="J14" s="15" t="n">
        <x:f>IF(OR(Assumptions!$D$8&lt;&gt;"READY",'Rent Roll'!$D$18&lt;&gt;"READY"),"",J11-J12-J13)</x:f>
        <x:v>1755.4015950359699</x:v>
      </x:c>
      <x:c r="K14" s="15" t="n">
        <x:f>IF(OR(Assumptions!$D$8&lt;&gt;"READY",'Rent Roll'!$D$18&lt;&gt;"READY"),"",K11-K12-K13)</x:f>
        <x:v>1808.063642887049</x:v>
      </x:c>
      <x:c r="L14" s="15" t="n">
        <x:f>IF(OR(Assumptions!$D$8&lt;&gt;"READY",'Rent Roll'!$D$18&lt;&gt;"READY"),"",L11-L12-L13)</x:f>
        <x:v>1862.3055521736605</x:v>
      </x:c>
      <x:c r="M14" s="15" t="n">
        <x:f>IF(OR(Assumptions!$D$8&lt;&gt;"READY",'Rent Roll'!$D$18&lt;&gt;"READY"),"",M11-M12-M13)</x:f>
        <x:v>1918.1747187388703</x:v>
      </x:c>
      <x:c r="N14" s="15" t="n">
        <x:f>IF(OR(Assumptions!$D$8&lt;&gt;"READY",'Rent Roll'!$D$18&lt;&gt;"READY"),"",N11-N12-N13)</x:f>
        <x:v>1975.7199603010365</x:v>
      </x:c>
      <x:c r="O14" s="1"/>
    </x:row>
    <x:row r="15" ht="22" customHeight="1">
      <x:c r="A15" s="1"/>
      <x:c r="B15" s="1"/>
      <x:c r="C15" s="1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1"/>
    </x:row>
    <x:row r="16" ht="22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1"/>
    </x:row>
    <x:row r="17" ht="22" customHeight="1">
      <x:c r="A17" s="1"/>
      <x:c r="B17" s="1"/>
      <x:c r="C17" s="1" t="str">
        <x:v>INR crore. Year 11 is for terminal valuation only, not an additional holding year.</x:v>
      </x:c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1"/>
    </x:row>
    <x:row r="18" ht="22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1"/>
    </x:row>
    <x:row r="19" ht="22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1"/>
    </x:row>
    <x:row r="20" ht="22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1"/>
    </x:row>
    <x:row r="21" ht="22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1"/>
    </x:row>
    <x:row r="22" ht="22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1"/>
    </x:row>
    <x:row r="23" ht="22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1"/>
    </x:row>
    <x:row r="24" ht="22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1"/>
    </x:row>
    <x:row r="25" ht="22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1"/>
    </x:row>
    <x:row r="26" ht="22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1"/>
    </x:row>
    <x:row r="27" ht="22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1"/>
    </x:row>
    <x:row r="28" ht="22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1"/>
    </x:row>
    <x:row r="29" ht="22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1"/>
    </x:row>
    <x:row r="30" ht="22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1"/>
    </x:row>
    <x:row r="31" ht="22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1"/>
    </x:row>
    <x:row r="35" ht="22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1"/>
    </x:row>
    <x:row r="36" ht="22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1"/>
    </x:row>
    <x:row r="37" ht="22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1"/>
    </x:row>
    <x:row r="38" ht="22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1"/>
    </x:row>
    <x:row r="39" ht="22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1"/>
    </x:row>
    <x:row r="40" ht="22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1"/>
    </x:row>
    <x:row r="41" ht="22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1"/>
    </x:row>
    <x:row r="42" ht="22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1"/>
    </x:row>
    <x:row r="43" ht="22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1"/>
    </x:row>
    <x:row r="44" ht="22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1"/>
    </x:row>
    <x:row r="45" ht="22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Debt Schedule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/>
      <x:c r="D5" s="21" t="n">
        <x:v>1</x:v>
      </x:c>
      <x:c r="E5" s="21" t="n">
        <x:v>2</x:v>
      </x:c>
      <x:c r="F5" s="21" t="n">
        <x:v>3</x:v>
      </x:c>
      <x:c r="G5" s="21" t="n">
        <x:v>4</x:v>
      </x:c>
      <x:c r="H5" s="21" t="n">
        <x:v>5</x:v>
      </x:c>
      <x:c r="I5" s="21" t="n">
        <x:v>6</x:v>
      </x:c>
      <x:c r="J5" s="21" t="n">
        <x:v>7</x:v>
      </x:c>
      <x:c r="K5" s="21" t="n">
        <x:v>8</x:v>
      </x:c>
      <x:c r="L5" s="21" t="n">
        <x:v>9</x:v>
      </x:c>
      <x:c r="M5" s="21" t="n">
        <x:v>10</x:v>
      </x:c>
      <x:c r="N5" s="21"/>
      <x:c r="O5" s="1"/>
    </x:row>
    <x:row r="6" ht="22" customHeight="1">
      <x:c r="A6" s="1"/>
      <x:c r="B6" s="1"/>
      <x:c r="C6" s="1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" t="str">
        <x:v>Opening debt</x:v>
      </x:c>
      <x:c r="D7" s="15" t="n">
        <x:f>IF(OR(Assumptions!$D$8&lt;&gt;"READY",'Rent Roll'!$D$18&lt;&gt;"READY"),"",Assumptions!$D$10*Assumptions!$D$23)</x:f>
        <x:v>9703.64</x:v>
      </x:c>
      <x:c r="E7" s="15" t="n">
        <x:f>IF(OR(Assumptions!$D$8&lt;&gt;"READY",'Rent Roll'!$D$18&lt;&gt;"READY"),"",D11)</x:f>
        <x:v>9491.594032375322</x:v>
      </x:c>
      <x:c r="F7" s="15" t="n">
        <x:f>IF(OR(Assumptions!$D$8&lt;&gt;"READY",'Rent Roll'!$D$18&lt;&gt;"READY"),"",E11)</x:f>
        <x:v>9262.58438734067</x:v>
      </x:c>
      <x:c r="G7" s="15" t="n">
        <x:f>IF(OR(Assumptions!$D$8&lt;&gt;"READY",'Rent Roll'!$D$18&lt;&gt;"READY"),"",F11)</x:f>
        <x:v>9015.253970703247</x:v>
      </x:c>
      <x:c r="H7" s="15" t="n">
        <x:f>IF(OR(Assumptions!$D$8&lt;&gt;"READY",'Rent Roll'!$D$18&lt;&gt;"READY"),"",G11)</x:f>
        <x:v>8748.13712073483</x:v>
      </x:c>
      <x:c r="I7" s="15" t="n">
        <x:f>IF(OR(Assumptions!$D$8&lt;&gt;"READY",'Rent Roll'!$D$18&lt;&gt;"READY"),"",H11)</x:f>
        <x:v>8459.650922768938</x:v>
      </x:c>
      <x:c r="J7" s="15" t="n">
        <x:f>IF(OR(Assumptions!$D$8&lt;&gt;"READY",'Rent Roll'!$D$18&lt;&gt;"READY"),"",I11)</x:f>
        <x:v>8148.085828965776</x:v>
      </x:c>
      <x:c r="K7" s="15" t="n">
        <x:f>IF(OR(Assumptions!$D$8&lt;&gt;"READY",'Rent Roll'!$D$18&lt;&gt;"READY"),"",J11)</x:f>
        <x:v>7811.595527658361</x:v>
      </x:c>
      <x:c r="L7" s="15" t="n">
        <x:f>IF(OR(Assumptions!$D$8&lt;&gt;"READY",'Rent Roll'!$D$18&lt;&gt;"READY"),"",K11)</x:f>
        <x:v>7448.1860022463525</x:v>
      </x:c>
      <x:c r="M7" s="15" t="n">
        <x:f>IF(OR(Assumptions!$D$8&lt;&gt;"READY",'Rent Roll'!$D$18&lt;&gt;"READY"),"",L11)</x:f>
        <x:v>7055.703714801383</x:v>
      </x:c>
      <x:c r="N7" s="2"/>
      <x:c r="O7" s="1"/>
    </x:row>
    <x:row r="8" ht="22" customHeight="1">
      <x:c r="A8" s="1"/>
      <x:c r="B8" s="1"/>
      <x:c r="C8" s="1" t="str">
        <x:v>Interest</x:v>
      </x:c>
      <x:c r="D8" s="15" t="n">
        <x:f>IF(OR(Assumptions!$D$8&lt;&gt;"READY",'Rent Roll'!$D$18&lt;&gt;"READY"),"",D7*Assumptions!$D$24)</x:f>
        <x:v>776.2912</x:v>
      </x:c>
      <x:c r="E8" s="15" t="n">
        <x:f>IF(OR(Assumptions!$D$8&lt;&gt;"READY",'Rent Roll'!$D$18&lt;&gt;"READY"),"",E7*Assumptions!$D$24)</x:f>
        <x:v>759.3275225900258</x:v>
      </x:c>
      <x:c r="F8" s="15" t="n">
        <x:f>IF(OR(Assumptions!$D$8&lt;&gt;"READY",'Rent Roll'!$D$18&lt;&gt;"READY"),"",F7*Assumptions!$D$24)</x:f>
        <x:v>741.0067509872537</x:v>
      </x:c>
      <x:c r="G8" s="15" t="n">
        <x:f>IF(OR(Assumptions!$D$8&lt;&gt;"READY",'Rent Roll'!$D$18&lt;&gt;"READY"),"",G7*Assumptions!$D$24)</x:f>
        <x:v>721.2203176562597</x:v>
      </x:c>
      <x:c r="H8" s="15" t="n">
        <x:f>IF(OR(Assumptions!$D$8&lt;&gt;"READY",'Rent Roll'!$D$18&lt;&gt;"READY"),"",H7*Assumptions!$D$24)</x:f>
        <x:v>699.8509696587863</x:v>
      </x:c>
      <x:c r="I8" s="15" t="n">
        <x:f>IF(OR(Assumptions!$D$8&lt;&gt;"READY",'Rent Roll'!$D$18&lt;&gt;"READY"),"",I7*Assumptions!$D$24)</x:f>
        <x:v>676.772073821515</x:v>
      </x:c>
      <x:c r="J8" s="15" t="n">
        <x:f>IF(OR(Assumptions!$D$8&lt;&gt;"READY",'Rent Roll'!$D$18&lt;&gt;"READY"),"",J7*Assumptions!$D$24)</x:f>
        <x:v>651.8468663172621</x:v>
      </x:c>
      <x:c r="K8" s="15" t="n">
        <x:f>IF(OR(Assumptions!$D$8&lt;&gt;"READY",'Rent Roll'!$D$18&lt;&gt;"READY"),"",K7*Assumptions!$D$24)</x:f>
        <x:v>624.9276422126688</x:v>
      </x:c>
      <x:c r="L8" s="15" t="n">
        <x:f>IF(OR(Assumptions!$D$8&lt;&gt;"READY",'Rent Roll'!$D$18&lt;&gt;"READY"),"",L7*Assumptions!$D$24)</x:f>
        <x:v>595.8548801797082</x:v>
      </x:c>
      <x:c r="M8" s="15" t="n">
        <x:f>IF(OR(Assumptions!$D$8&lt;&gt;"READY",'Rent Roll'!$D$18&lt;&gt;"READY"),"",M7*Assumptions!$D$24)</x:f>
        <x:v>564.4562971841107</x:v>
      </x:c>
      <x:c r="N8" s="2"/>
      <x:c r="O8" s="1"/>
    </x:row>
    <x:row r="9" ht="22" customHeight="1">
      <x:c r="A9" s="1"/>
      <x:c r="B9" s="1"/>
      <x:c r="C9" s="1" t="str">
        <x:v>Scheduled debt service</x:v>
      </x:c>
      <x:c r="D9" s="15" t="n">
        <x:f>IF(OR(Assumptions!$D$8&lt;&gt;"READY",'Rent Roll'!$D$18&lt;&gt;"READY"),"",MIN(D7+D8,IF(Assumptions!$D$24=0,Assumptions!$D$10*Assumptions!$D$23/Assumptions!$D$13,-PMT(Assumptions!$D$24,Assumptions!$D$13,Assumptions!$D$10*Assumptions!$D$23))))</x:f>
        <x:v>988.3371676246772</x:v>
      </x:c>
      <x:c r="E9" s="15" t="n">
        <x:f>IF(OR(Assumptions!$D$8&lt;&gt;"READY",'Rent Roll'!$D$18&lt;&gt;"READY"),"",MIN(E7+E8,IF(Assumptions!$D$24=0,Assumptions!$D$10*Assumptions!$D$23/Assumptions!$D$13,-PMT(Assumptions!$D$24,Assumptions!$D$13,Assumptions!$D$10*Assumptions!$D$23))))</x:f>
        <x:v>988.3371676246772</x:v>
      </x:c>
      <x:c r="F9" s="15" t="n">
        <x:f>IF(OR(Assumptions!$D$8&lt;&gt;"READY",'Rent Roll'!$D$18&lt;&gt;"READY"),"",MIN(F7+F8,IF(Assumptions!$D$24=0,Assumptions!$D$10*Assumptions!$D$23/Assumptions!$D$13,-PMT(Assumptions!$D$24,Assumptions!$D$13,Assumptions!$D$10*Assumptions!$D$23))))</x:f>
        <x:v>988.3371676246772</x:v>
      </x:c>
      <x:c r="G9" s="15" t="n">
        <x:f>IF(OR(Assumptions!$D$8&lt;&gt;"READY",'Rent Roll'!$D$18&lt;&gt;"READY"),"",MIN(G7+G8,IF(Assumptions!$D$24=0,Assumptions!$D$10*Assumptions!$D$23/Assumptions!$D$13,-PMT(Assumptions!$D$24,Assumptions!$D$13,Assumptions!$D$10*Assumptions!$D$23))))</x:f>
        <x:v>988.3371676246772</x:v>
      </x:c>
      <x:c r="H9" s="15" t="n">
        <x:f>IF(OR(Assumptions!$D$8&lt;&gt;"READY",'Rent Roll'!$D$18&lt;&gt;"READY"),"",MIN(H7+H8,IF(Assumptions!$D$24=0,Assumptions!$D$10*Assumptions!$D$23/Assumptions!$D$13,-PMT(Assumptions!$D$24,Assumptions!$D$13,Assumptions!$D$10*Assumptions!$D$23))))</x:f>
        <x:v>988.3371676246772</x:v>
      </x:c>
      <x:c r="I9" s="15" t="n">
        <x:f>IF(OR(Assumptions!$D$8&lt;&gt;"READY",'Rent Roll'!$D$18&lt;&gt;"READY"),"",MIN(I7+I8,IF(Assumptions!$D$24=0,Assumptions!$D$10*Assumptions!$D$23/Assumptions!$D$13,-PMT(Assumptions!$D$24,Assumptions!$D$13,Assumptions!$D$10*Assumptions!$D$23))))</x:f>
        <x:v>988.3371676246772</x:v>
      </x:c>
      <x:c r="J9" s="15" t="n">
        <x:f>IF(OR(Assumptions!$D$8&lt;&gt;"READY",'Rent Roll'!$D$18&lt;&gt;"READY"),"",MIN(J7+J8,IF(Assumptions!$D$24=0,Assumptions!$D$10*Assumptions!$D$23/Assumptions!$D$13,-PMT(Assumptions!$D$24,Assumptions!$D$13,Assumptions!$D$10*Assumptions!$D$23))))</x:f>
        <x:v>988.3371676246772</x:v>
      </x:c>
      <x:c r="K9" s="15" t="n">
        <x:f>IF(OR(Assumptions!$D$8&lt;&gt;"READY",'Rent Roll'!$D$18&lt;&gt;"READY"),"",MIN(K7+K8,IF(Assumptions!$D$24=0,Assumptions!$D$10*Assumptions!$D$23/Assumptions!$D$13,-PMT(Assumptions!$D$24,Assumptions!$D$13,Assumptions!$D$10*Assumptions!$D$23))))</x:f>
        <x:v>988.3371676246772</x:v>
      </x:c>
      <x:c r="L9" s="15" t="n">
        <x:f>IF(OR(Assumptions!$D$8&lt;&gt;"READY",'Rent Roll'!$D$18&lt;&gt;"READY"),"",MIN(L7+L8,IF(Assumptions!$D$24=0,Assumptions!$D$10*Assumptions!$D$23/Assumptions!$D$13,-PMT(Assumptions!$D$24,Assumptions!$D$13,Assumptions!$D$10*Assumptions!$D$23))))</x:f>
        <x:v>988.3371676246772</x:v>
      </x:c>
      <x:c r="M9" s="15" t="n">
        <x:f>IF(OR(Assumptions!$D$8&lt;&gt;"READY",'Rent Roll'!$D$18&lt;&gt;"READY"),"",MIN(M7+M8,IF(Assumptions!$D$24=0,Assumptions!$D$10*Assumptions!$D$23/Assumptions!$D$13,-PMT(Assumptions!$D$24,Assumptions!$D$13,Assumptions!$D$10*Assumptions!$D$23))))</x:f>
        <x:v>988.3371676246772</x:v>
      </x:c>
      <x:c r="N9" s="2"/>
      <x:c r="O9" s="1"/>
    </x:row>
    <x:row r="10" ht="22" customHeight="1">
      <x:c r="A10" s="1"/>
      <x:c r="B10" s="1"/>
      <x:c r="C10" s="1" t="str">
        <x:v>Principal repayment</x:v>
      </x:c>
      <x:c r="D10" s="15" t="n">
        <x:f>IF(OR(Assumptions!$D$8&lt;&gt;"READY",'Rent Roll'!$D$18&lt;&gt;"READY"),"",D9-D8)</x:f>
        <x:v>212.04596762467725</x:v>
      </x:c>
      <x:c r="E10" s="15" t="n">
        <x:f>IF(OR(Assumptions!$D$8&lt;&gt;"READY",'Rent Roll'!$D$18&lt;&gt;"READY"),"",E9-E8)</x:f>
        <x:v>229.0096450346515</x:v>
      </x:c>
      <x:c r="F10" s="15" t="n">
        <x:f>IF(OR(Assumptions!$D$8&lt;&gt;"READY",'Rent Roll'!$D$18&lt;&gt;"READY"),"",F9-F8)</x:f>
        <x:v>247.33041663742358</x:v>
      </x:c>
      <x:c r="G10" s="15" t="n">
        <x:f>IF(OR(Assumptions!$D$8&lt;&gt;"READY",'Rent Roll'!$D$18&lt;&gt;"READY"),"",G9-G8)</x:f>
        <x:v>267.11684996841757</x:v>
      </x:c>
      <x:c r="H10" s="15" t="n">
        <x:f>IF(OR(Assumptions!$D$8&lt;&gt;"READY",'Rent Roll'!$D$18&lt;&gt;"READY"),"",H9-H8)</x:f>
        <x:v>288.48619796589094</x:v>
      </x:c>
      <x:c r="I10" s="15" t="n">
        <x:f>IF(OR(Assumptions!$D$8&lt;&gt;"READY",'Rent Roll'!$D$18&lt;&gt;"READY"),"",I9-I8)</x:f>
        <x:v>311.5650938031622</x:v>
      </x:c>
      <x:c r="J10" s="15" t="n">
        <x:f>IF(OR(Assumptions!$D$8&lt;&gt;"READY",'Rent Roll'!$D$18&lt;&gt;"READY"),"",J9-J8)</x:f>
        <x:v>336.49030130741517</x:v>
      </x:c>
      <x:c r="K10" s="15" t="n">
        <x:f>IF(OR(Assumptions!$D$8&lt;&gt;"READY",'Rent Roll'!$D$18&lt;&gt;"READY"),"",K9-K8)</x:f>
        <x:v>363.4095254120084</x:v>
      </x:c>
      <x:c r="L10" s="15" t="n">
        <x:f>IF(OR(Assumptions!$D$8&lt;&gt;"READY",'Rent Roll'!$D$18&lt;&gt;"READY"),"",L9-L8)</x:f>
        <x:v>392.4822874449691</x:v>
      </x:c>
      <x:c r="M10" s="15" t="n">
        <x:f>IF(OR(Assumptions!$D$8&lt;&gt;"READY",'Rent Roll'!$D$18&lt;&gt;"READY"),"",M9-M8)</x:f>
        <x:v>423.8808704405666</x:v>
      </x:c>
      <x:c r="N10" s="2"/>
      <x:c r="O10" s="1"/>
    </x:row>
    <x:row r="11" ht="22" customHeight="1">
      <x:c r="A11" s="1"/>
      <x:c r="B11" s="1"/>
      <x:c r="C11" s="1" t="str">
        <x:v>Closing debt before sale</x:v>
      </x:c>
      <x:c r="D11" s="15" t="n">
        <x:f>IF(OR(Assumptions!$D$8&lt;&gt;"READY",'Rent Roll'!$D$18&lt;&gt;"READY"),"",D7-D10)</x:f>
        <x:v>9491.594032375322</x:v>
      </x:c>
      <x:c r="E11" s="15" t="n">
        <x:f>IF(OR(Assumptions!$D$8&lt;&gt;"READY",'Rent Roll'!$D$18&lt;&gt;"READY"),"",E7-E10)</x:f>
        <x:v>9262.58438734067</x:v>
      </x:c>
      <x:c r="F11" s="15" t="n">
        <x:f>IF(OR(Assumptions!$D$8&lt;&gt;"READY",'Rent Roll'!$D$18&lt;&gt;"READY"),"",F7-F10)</x:f>
        <x:v>9015.253970703247</x:v>
      </x:c>
      <x:c r="G11" s="15" t="n">
        <x:f>IF(OR(Assumptions!$D$8&lt;&gt;"READY",'Rent Roll'!$D$18&lt;&gt;"READY"),"",G7-G10)</x:f>
        <x:v>8748.13712073483</x:v>
      </x:c>
      <x:c r="H11" s="15" t="n">
        <x:f>IF(OR(Assumptions!$D$8&lt;&gt;"READY",'Rent Roll'!$D$18&lt;&gt;"READY"),"",H7-H10)</x:f>
        <x:v>8459.650922768938</x:v>
      </x:c>
      <x:c r="I11" s="15" t="n">
        <x:f>IF(OR(Assumptions!$D$8&lt;&gt;"READY",'Rent Roll'!$D$18&lt;&gt;"READY"),"",I7-I10)</x:f>
        <x:v>8148.085828965776</x:v>
      </x:c>
      <x:c r="J11" s="15" t="n">
        <x:f>IF(OR(Assumptions!$D$8&lt;&gt;"READY",'Rent Roll'!$D$18&lt;&gt;"READY"),"",J7-J10)</x:f>
        <x:v>7811.595527658361</x:v>
      </x:c>
      <x:c r="K11" s="15" t="n">
        <x:f>IF(OR(Assumptions!$D$8&lt;&gt;"READY",'Rent Roll'!$D$18&lt;&gt;"READY"),"",K7-K10)</x:f>
        <x:v>7448.1860022463525</x:v>
      </x:c>
      <x:c r="L11" s="15" t="n">
        <x:f>IF(OR(Assumptions!$D$8&lt;&gt;"READY",'Rent Roll'!$D$18&lt;&gt;"READY"),"",L7-L10)</x:f>
        <x:v>7055.703714801383</x:v>
      </x:c>
      <x:c r="M11" s="15" t="n">
        <x:f>IF(OR(Assumptions!$D$8&lt;&gt;"READY",'Rent Roll'!$D$18&lt;&gt;"READY"),"",M7-M10)</x:f>
        <x:v>6631.822844360817</x:v>
      </x:c>
      <x:c r="N11" s="2"/>
      <x:c r="O11" s="1"/>
    </x:row>
    <x:row r="12" ht="22" customHeight="1">
      <x:c r="A12" s="1"/>
      <x:c r="B12" s="1"/>
      <x:c r="C12" s="1" t="str">
        <x:v>DSCR (NOI / service)</x:v>
      </x:c>
      <x:c r="D12" s="15" t="n">
        <x:f>IF(OR(Assumptions!$D$8&lt;&gt;"READY",'Rent Roll'!$D$18&lt;&gt;"READY"),"",IF(D9=0,"n.a.",'Operating Cash Flow'!D11/D9))</x:f>
        <x:v>1.4132828813440288</x:v>
      </x:c>
      <x:c r="E12" s="15" t="n">
        <x:f>IF(OR(Assumptions!$D$8&lt;&gt;"READY",'Rent Roll'!$D$18&lt;&gt;"READY"),"",IF(E9=0,"n.a.",'Operating Cash Flow'!E11/E9))</x:f>
        <x:v>1.4556813677843496</x:v>
      </x:c>
      <x:c r="F12" s="15" t="n">
        <x:f>IF(OR(Assumptions!$D$8&lt;&gt;"READY",'Rent Roll'!$D$18&lt;&gt;"READY"),"",IF(F9=0,"n.a.",'Operating Cash Flow'!F11/F9))</x:f>
        <x:v>1.49935180881788</x:v>
      </x:c>
      <x:c r="G12" s="15" t="n">
        <x:f>IF(OR(Assumptions!$D$8&lt;&gt;"READY",'Rent Roll'!$D$18&lt;&gt;"READY"),"",IF(G9=0,"n.a.",'Operating Cash Flow'!G11/G9))</x:f>
        <x:v>1.5443323630824164</x:v>
      </x:c>
      <x:c r="H12" s="15" t="n">
        <x:f>IF(OR(Assumptions!$D$8&lt;&gt;"READY",'Rent Roll'!$D$18&lt;&gt;"READY"),"",IF(H9=0,"n.a.",'Operating Cash Flow'!H11/H9))</x:f>
        <x:v>1.590662333974889</x:v>
      </x:c>
      <x:c r="I12" s="15" t="n">
        <x:f>IF(OR(Assumptions!$D$8&lt;&gt;"READY",'Rent Roll'!$D$18&lt;&gt;"READY"),"",IF(I9=0,"n.a.",'Operating Cash Flow'!I11/I9))</x:f>
        <x:v>1.471155319371255</x:v>
      </x:c>
      <x:c r="J12" s="15" t="n">
        <x:f>IF(OR(Assumptions!$D$8&lt;&gt;"READY",'Rent Roll'!$D$18&lt;&gt;"READY"),"",IF(J9=0,"n.a.",'Operating Cash Flow'!J11/J9))</x:f>
        <x:v>1.8253286230432137</x:v>
      </x:c>
      <x:c r="K12" s="15" t="n">
        <x:f>IF(OR(Assumptions!$D$8&lt;&gt;"READY",'Rent Roll'!$D$18&lt;&gt;"READY"),"",IF(K9=0,"n.a.",'Operating Cash Flow'!K11/K9))</x:f>
        <x:v>1.8800884817345103</x:v>
      </x:c>
      <x:c r="L12" s="15" t="n">
        <x:f>IF(OR(Assumptions!$D$8&lt;&gt;"READY",'Rent Roll'!$D$18&lt;&gt;"READY"),"",IF(L9=0,"n.a.",'Operating Cash Flow'!L11/L9))</x:f>
        <x:v>1.9364911361865458</x:v>
      </x:c>
      <x:c r="M12" s="15" t="n">
        <x:f>IF(OR(Assumptions!$D$8&lt;&gt;"READY",'Rent Roll'!$D$18&lt;&gt;"READY"),"",IF(M9=0,"n.a.",'Operating Cash Flow'!M11/M9))</x:f>
        <x:v>1.9945858702721422</x:v>
      </x:c>
      <x:c r="N12" s="2"/>
      <x:c r="O12" s="1"/>
    </x:row>
    <x:row r="13" ht="22" customHeight="1">
      <x:c r="A13" s="1"/>
      <x:c r="B13" s="1"/>
      <x:c r="C13" s="1" t="str">
        <x:v>Forward-NOI property value</x:v>
      </x:c>
      <x:c r="D13" s="15" t="n">
        <x:f>IF(OR(Assumptions!$D$8&lt;&gt;"READY",'Rent Roll'!$D$18&lt;&gt;"READY"),"",'Operating Cash Flow'!E11/Assumptions!$D$22)</x:f>
        <x:v>22133.907692307694</x:v>
      </x:c>
      <x:c r="E13" s="15" t="n">
        <x:f>IF(OR(Assumptions!$D$8&lt;&gt;"READY",'Rent Roll'!$D$18&lt;&gt;"READY"),"",'Operating Cash Flow'!F11/Assumptions!$D$22)</x:f>
        <x:v>22797.924923076924</x:v>
      </x:c>
      <x:c r="F13" s="15" t="n">
        <x:f>IF(OR(Assumptions!$D$8&lt;&gt;"READY",'Rent Roll'!$D$18&lt;&gt;"READY"),"",'Operating Cash Flow'!G11/Assumptions!$D$22)</x:f>
        <x:v>23481.86267076923</x:v>
      </x:c>
      <x:c r="G13" s="15" t="n">
        <x:f>IF(OR(Assumptions!$D$8&lt;&gt;"READY",'Rent Roll'!$D$18&lt;&gt;"READY"),"",'Operating Cash Flow'!H11/Assumptions!$D$22)</x:f>
        <x:v>24186.318550892312</x:v>
      </x:c>
      <x:c r="H13" s="15" t="n">
        <x:f>IF(OR(Assumptions!$D$8&lt;&gt;"READY",'Rent Roll'!$D$18&lt;&gt;"READY"),"",'Operating Cash Flow'!I11/Assumptions!$D$22)</x:f>
        <x:v>22369.19202282098</x:v>
      </x:c>
      <x:c r="I13" s="15" t="n">
        <x:f>IF(OR(Assumptions!$D$8&lt;&gt;"READY",'Rent Roll'!$D$18&lt;&gt;"READY"),"",'Operating Cash Flow'!J11/Assumptions!$D$22)</x:f>
        <x:v>27754.463404350492</x:v>
      </x:c>
      <x:c r="J13" s="15" t="n">
        <x:f>IF(OR(Assumptions!$D$8&lt;&gt;"READY",'Rent Roll'!$D$18&lt;&gt;"READY"),"",'Operating Cash Flow'!K11/Assumptions!$D$22)</x:f>
        <x:v>28587.097306481006</x:v>
      </x:c>
      <x:c r="K13" s="15" t="n">
        <x:f>IF(OR(Assumptions!$D$8&lt;&gt;"READY",'Rent Roll'!$D$18&lt;&gt;"READY"),"",'Operating Cash Flow'!L11/Assumptions!$D$22)</x:f>
        <x:v>29444.71022567544</x:v>
      </x:c>
      <x:c r="L13" s="15" t="n">
        <x:f>IF(OR(Assumptions!$D$8&lt;&gt;"READY",'Rent Roll'!$D$18&lt;&gt;"READY"),"",'Operating Cash Flow'!M11/Assumptions!$D$22)</x:f>
        <x:v>30328.051532445705</x:v>
      </x:c>
      <x:c r="M13" s="15" t="n">
        <x:f>IF(OR(Assumptions!$D$8&lt;&gt;"READY",'Rent Roll'!$D$18&lt;&gt;"READY"),"",'Operating Cash Flow'!N11/Assumptions!$D$22)</x:f>
        <x:v>31237.893078419078</x:v>
      </x:c>
      <x:c r="N13" s="2"/>
      <x:c r="O13" s="1"/>
    </x:row>
    <x:row r="14" ht="22" customHeight="1">
      <x:c r="A14" s="1"/>
      <x:c r="B14" s="1"/>
      <x:c r="C14" s="1" t="str">
        <x:v>Closing LTV</x:v>
      </x:c>
      <x:c r="D14" s="9" t="n">
        <x:f>IF(OR(Assumptions!$D$8&lt;&gt;"READY",'Rent Roll'!$D$18&lt;&gt;"READY"),"",IF(D13&lt;=0,"n.a.",D11/D13))</x:f>
        <x:v>0.42882595176241667</x:v>
      </x:c>
      <x:c r="E14" s="9" t="n">
        <x:f>IF(OR(Assumptions!$D$8&lt;&gt;"READY",'Rent Roll'!$D$18&lt;&gt;"READY"),"",IF(E13&lt;=0,"n.a.",E11/E13))</x:f>
        <x:v>0.4062906785856081</x:v>
      </x:c>
      <x:c r="F14" s="9" t="n">
        <x:f>IF(OR(Assumptions!$D$8&lt;&gt;"READY",'Rent Roll'!$D$18&lt;&gt;"READY"),"",IF(F13&lt;=0,"n.a.",F11/F13))</x:f>
        <x:v>0.3839241416706539</x:v>
      </x:c>
      <x:c r="G14" s="9" t="n">
        <x:f>IF(OR(Assumptions!$D$8&lt;&gt;"READY",'Rent Roll'!$D$18&lt;&gt;"READY"),"",IF(G13&lt;=0,"n.a.",G11/G13))</x:f>
        <x:v>0.36169775496536166</x:v>
      </x:c>
      <x:c r="H14" s="9" t="n">
        <x:f>IF(OR(Assumptions!$D$8&lt;&gt;"READY",'Rent Roll'!$D$18&lt;&gt;"READY"),"",IF(H13&lt;=0,"n.a.",H11/H13))</x:f>
        <x:v>0.37818312409936083</x:v>
      </x:c>
      <x:c r="I14" s="9" t="n">
        <x:f>IF(OR(Assumptions!$D$8&lt;&gt;"READY",'Rent Roll'!$D$18&lt;&gt;"READY"),"",IF(I13&lt;=0,"n.a.",I11/I13))</x:f>
        <x:v>0.29357749455493237</x:v>
      </x:c>
      <x:c r="J14" s="9" t="n">
        <x:f>IF(OR(Assumptions!$D$8&lt;&gt;"READY",'Rent Roll'!$D$18&lt;&gt;"READY"),"",IF(J13&lt;=0,"n.a.",J11/J13))</x:f>
        <x:v>0.2732559883191564</x:v>
      </x:c>
      <x:c r="K14" s="9" t="n">
        <x:f>IF(OR(Assumptions!$D$8&lt;&gt;"READY",'Rent Roll'!$D$18&lt;&gt;"READY"),"",IF(K13&lt;=0,"n.a.",K11/K13))</x:f>
        <x:v>0.2529549771473595</x:v>
      </x:c>
      <x:c r="L14" s="9" t="n">
        <x:f>IF(OR(Assumptions!$D$8&lt;&gt;"READY",'Rent Roll'!$D$18&lt;&gt;"READY"),"",IF(L13&lt;=0,"n.a.",L11/L13))</x:f>
        <x:v>0.2326461265489811</x:v>
      </x:c>
      <x:c r="M14" s="9" t="n">
        <x:f>IF(OR(Assumptions!$D$8&lt;&gt;"READY",'Rent Roll'!$D$18&lt;&gt;"READY"),"",IF(M13&lt;=0,"n.a.",M11/M13))</x:f>
        <x:v>0.21230058082702316</x:v>
      </x:c>
      <x:c r="N14" s="2"/>
      <x:c r="O14" s="1"/>
    </x:row>
    <x:row r="15" ht="22" customHeight="1">
      <x:c r="A15" s="1"/>
      <x:c r="B15" s="1"/>
      <x:c r="C15" s="1" t="str">
        <x:v>Balloon repaid on sale</x:v>
      </x:c>
      <x:c r="D15" s="15" t="n">
        <x:f>IF(OR(Assumptions!$D$8&lt;&gt;"READY",'Rent Roll'!$D$18&lt;&gt;"READY"),"",0)</x:f>
        <x:v>0</x:v>
      </x:c>
      <x:c r="E15" s="15" t="n">
        <x:f>IF(OR(Assumptions!$D$8&lt;&gt;"READY",'Rent Roll'!$D$18&lt;&gt;"READY"),"",0)</x:f>
        <x:v>0</x:v>
      </x:c>
      <x:c r="F15" s="15" t="n">
        <x:f>IF(OR(Assumptions!$D$8&lt;&gt;"READY",'Rent Roll'!$D$18&lt;&gt;"READY"),"",0)</x:f>
        <x:v>0</x:v>
      </x:c>
      <x:c r="G15" s="15" t="n">
        <x:f>IF(OR(Assumptions!$D$8&lt;&gt;"READY",'Rent Roll'!$D$18&lt;&gt;"READY"),"",0)</x:f>
        <x:v>0</x:v>
      </x:c>
      <x:c r="H15" s="15" t="n">
        <x:f>IF(OR(Assumptions!$D$8&lt;&gt;"READY",'Rent Roll'!$D$18&lt;&gt;"READY"),"",0)</x:f>
        <x:v>0</x:v>
      </x:c>
      <x:c r="I15" s="15" t="n">
        <x:f>IF(OR(Assumptions!$D$8&lt;&gt;"READY",'Rent Roll'!$D$18&lt;&gt;"READY"),"",0)</x:f>
        <x:v>0</x:v>
      </x:c>
      <x:c r="J15" s="15" t="n">
        <x:f>IF(OR(Assumptions!$D$8&lt;&gt;"READY",'Rent Roll'!$D$18&lt;&gt;"READY"),"",0)</x:f>
        <x:v>0</x:v>
      </x:c>
      <x:c r="K15" s="15" t="n">
        <x:f>IF(OR(Assumptions!$D$8&lt;&gt;"READY",'Rent Roll'!$D$18&lt;&gt;"READY"),"",0)</x:f>
        <x:v>0</x:v>
      </x:c>
      <x:c r="L15" s="15" t="n">
        <x:f>IF(OR(Assumptions!$D$8&lt;&gt;"READY",'Rent Roll'!$D$18&lt;&gt;"READY"),"",0)</x:f>
        <x:v>0</x:v>
      </x:c>
      <x:c r="M15" s="15" t="n">
        <x:f>IF(OR(Assumptions!$D$8&lt;&gt;"READY",'Rent Roll'!$D$18&lt;&gt;"READY"),"",M11)</x:f>
        <x:v>6631.822844360817</x:v>
      </x:c>
      <x:c r="N15" s="2"/>
      <x:c r="O15" s="1"/>
    </x:row>
    <x:row r="16" ht="22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1"/>
    </x:row>
    <x:row r="17" ht="22" customHeight="1">
      <x:c r="A17" s="1"/>
      <x:c r="B17" s="1"/>
      <x:c r="C17" s="1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1"/>
    </x:row>
    <x:row r="18" ht="22" customHeight="1">
      <x:c r="A18" s="1"/>
      <x:c r="B18" s="1"/>
      <x:c r="C18" s="1" t="str">
        <x:v>DSCR excludes exit balloon. LTV uses forward NOI / selected exit cap as an assumed value proxy.</x:v>
      </x:c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1"/>
    </x:row>
    <x:row r="19" ht="22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1"/>
    </x:row>
    <x:row r="20" ht="22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1"/>
    </x:row>
    <x:row r="21" ht="22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1"/>
    </x:row>
    <x:row r="22" ht="22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1"/>
    </x:row>
    <x:row r="23" ht="22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1"/>
    </x:row>
    <x:row r="24" ht="22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1"/>
    </x:row>
    <x:row r="25" ht="22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1"/>
    </x:row>
    <x:row r="26" ht="22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1"/>
    </x:row>
    <x:row r="27" ht="22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1"/>
    </x:row>
    <x:row r="28" ht="22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1"/>
    </x:row>
    <x:row r="29" ht="22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1"/>
    </x:row>
    <x:row r="30" ht="22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1"/>
    </x:row>
    <x:row r="31" ht="22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1"/>
    </x:row>
    <x:row r="35" ht="22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1"/>
    </x:row>
    <x:row r="36" ht="22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1"/>
    </x:row>
    <x:row r="37" ht="22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1"/>
    </x:row>
    <x:row r="38" ht="22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1"/>
    </x:row>
    <x:row r="39" ht="22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1"/>
    </x:row>
    <x:row r="40" ht="22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1"/>
    </x:row>
    <x:row r="41" ht="22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1"/>
    </x:row>
    <x:row r="42" ht="22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1"/>
    </x:row>
    <x:row r="43" ht="22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1"/>
    </x:row>
    <x:row r="44" ht="22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1"/>
    </x:row>
    <x:row r="45" ht="22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Sensitivities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 t="str">
        <x:v>Active model drivers (linked to selected case; native tables temporarily vary these)</x:v>
      </x:c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1"/>
    </x:row>
    <x:row r="6" ht="22" customHeight="1">
      <x:c r="A6" s="1"/>
      <x:c r="B6" s="1"/>
      <x:c r="C6" s="1" t="str">
        <x:v>Market rent growth</x:v>
      </x:c>
      <x:c r="D6" s="9" t="n">
        <x:f>IF(ISNUMBER(CHOOSE(Assumptions!D6,Scenarios!D6,Scenarios!E6,Scenarios!F6)),CHOOSE(Assumptions!D6,Scenarios!D6,Scenarios!E6,Scenarios!F6),"")</x:f>
        <x:v>0.03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" t="str">
        <x:v>Exit cap rate</x:v>
      </x:c>
      <x:c r="D7" s="9" t="n">
        <x:f>IF(ISNUMBER(CHOOSE(Assumptions!D6,Scenarios!D7,Scenarios!E7,Scenarios!F7)),CHOOSE(Assumptions!D6,Scenarios!D7,Scenarios!E7,Scenarios!F7),"")</x:f>
        <x:v>0.065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1"/>
    </x:row>
    <x:row r="8" ht="22" customHeight="1">
      <x:c r="A8" s="1"/>
      <x:c r="B8" s="1"/>
      <x:c r="C8" s="1" t="str">
        <x:v>Initial leverage</x:v>
      </x:c>
      <x:c r="D8" s="9" t="n">
        <x:f>IF(ISNUMBER(CHOOSE(Assumptions!D6,Scenarios!D8,Scenarios!E8,Scenarios!F8)),CHOOSE(Assumptions!D6,Scenarios!D8,Scenarios!E8,Scenarios!F8),"")</x:f>
        <x:v>0.4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1"/>
    </x:row>
    <x:row r="9" ht="22" customHeight="1">
      <x:c r="A9" s="1"/>
      <x:c r="B9" s="1"/>
      <x:c r="C9" s="1" t="str">
        <x:v>Debt interest rate</x:v>
      </x:c>
      <x:c r="D9" s="9" t="n">
        <x:f>IF(ISNUMBER(CHOOSE(Assumptions!D6,Scenarios!D9,Scenarios!E9,Scenarios!F9)),CHOOSE(Assumptions!D6,Scenarios!D9,Scenarios!E9,Scenarios!F9),"")</x:f>
        <x:v>0.08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1"/>
    </x:row>
    <x:row r="10" ht="22" customHeight="1">
      <x:c r="A10" s="1"/>
      <x:c r="B10" s="1"/>
      <x:c r="C10" s="1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1"/>
    </x:row>
    <x:row r="11" ht="22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1"/>
    </x:row>
    <x:row r="12" ht="22" customHeight="1">
      <x:c r="A12" s="1"/>
      <x:c r="B12" s="1"/>
      <x:c r="C12" s="1" t="str">
        <x:v>Levered IRR: exit cap (columns) versus rent growth (rows)</x:v>
      </x:c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1"/>
    </x:row>
    <x:row r="13" ht="22" customHeight="1">
      <x:c r="A13" s="1"/>
      <x:c r="B13" s="1"/>
      <x:c r="C13" s="1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1"/>
    </x:row>
    <x:row r="14" ht="22" customHeight="1">
      <x:c r="A14" s="1"/>
      <x:c r="B14" s="1"/>
      <x:c r="C14" s="1"/>
      <x:c r="D14" s="9" t="n">
        <x:f>IF(Returns!D12="READY",Returns!D6,"n.a.")</x:f>
        <x:v>0.07680534916625384</x:v>
      </x:c>
      <x:c r="E14" s="7" t="n">
        <x:v>0.06</x:v>
      </x:c>
      <x:c r="F14" s="7" t="n">
        <x:v>0.065</x:v>
      </x:c>
      <x:c r="G14" s="7" t="n">
        <x:v>0.07</x:v>
      </x:c>
      <x:c r="H14" s="2"/>
      <x:c r="I14" s="2"/>
      <x:c r="J14" s="2"/>
      <x:c r="K14" s="2"/>
      <x:c r="L14" s="2"/>
      <x:c r="M14" s="2"/>
      <x:c r="N14" s="2"/>
      <x:c r="O14" s="1"/>
    </x:row>
    <x:row r="15" ht="22" customHeight="1">
      <x:c r="A15" s="1"/>
      <x:c r="B15" s="1"/>
      <x:c r="C15" s="1"/>
      <x:c r="D15" s="7" t="n">
        <x:v>0.01</x:v>
      </x:c>
      <x:c r="E15" s="8" t="n">
        <x:f t="dataTable" ref="E15:G17" dt2D="1" r1="D7" r2="D6"/>
        <x:v>0.0534381885352</x:v>
      </x:c>
      <x:c r="F15" s="8" t="n">
        <x:v>0.0436404627337</x:v>
      </x:c>
      <x:c r="G15" s="8" t="n">
        <x:v>0.034492864672</x:v>
      </x:c>
      <x:c r="H15" s="2"/>
      <x:c r="I15" s="2"/>
      <x:c r="J15" s="2"/>
      <x:c r="K15" s="2"/>
      <x:c r="L15" s="2"/>
      <x:c r="M15" s="2"/>
      <x:c r="N15" s="2"/>
      <x:c r="O15" s="1"/>
    </x:row>
    <x:row r="16" ht="22" customHeight="1">
      <x:c r="A16" s="1"/>
      <x:c r="B16" s="1"/>
      <x:c r="C16" s="1"/>
      <x:c r="D16" s="7" t="n">
        <x:v>0.03</x:v>
      </x:c>
      <x:c r="E16" s="8" t="n">
        <x:v>0.0860736506316</x:v>
      </x:c>
      <x:c r="F16" s="8" t="n">
        <x:v>0.0768053491663</x:v>
      </x:c>
      <x:c r="G16" s="8" t="n">
        <x:v>0.0682151909792</x:v>
      </x:c>
      <x:c r="H16" s="2"/>
      <x:c r="I16" s="2"/>
      <x:c r="J16" s="2"/>
      <x:c r="K16" s="2"/>
      <x:c r="L16" s="2"/>
      <x:c r="M16" s="2"/>
      <x:c r="N16" s="2"/>
      <x:c r="O16" s="1"/>
    </x:row>
    <x:row r="17" ht="22" customHeight="1">
      <x:c r="A17" s="1"/>
      <x:c r="B17" s="1"/>
      <x:c r="C17" s="1"/>
      <x:c r="D17" s="7" t="n">
        <x:v>0.05</x:v>
      </x:c>
      <x:c r="E17" s="8" t="n">
        <x:v>0.1159864119362</x:v>
      </x:c>
      <x:c r="F17" s="8" t="n">
        <x:v>0.1070286448422</x:v>
      </x:c>
      <x:c r="G17" s="8" t="n">
        <x:v>0.0987662385089</x:v>
      </x:c>
      <x:c r="H17" s="2"/>
      <x:c r="I17" s="2"/>
      <x:c r="J17" s="2"/>
      <x:c r="K17" s="2"/>
      <x:c r="L17" s="2"/>
      <x:c r="M17" s="2"/>
      <x:c r="N17" s="2"/>
      <x:c r="O17" s="1"/>
    </x:row>
    <x:row r="18" ht="22" customHeight="1">
      <x:c r="A18" s="1"/>
      <x:c r="B18" s="1"/>
      <x:c r="C18" s="1"/>
      <x:c r="D18" s="8"/>
      <x:c r="E18" s="8"/>
      <x:c r="F18" s="8"/>
      <x:c r="G18" s="8"/>
      <x:c r="H18" s="2"/>
      <x:c r="I18" s="2"/>
      <x:c r="J18" s="2"/>
      <x:c r="K18" s="2"/>
      <x:c r="L18" s="2"/>
      <x:c r="M18" s="2"/>
      <x:c r="N18" s="2"/>
      <x:c r="O18" s="1"/>
    </x:row>
    <x:row r="19" ht="22" customHeight="1">
      <x:c r="A19" s="1"/>
      <x:c r="B19" s="1"/>
      <x:c r="C19" s="1"/>
      <x:c r="D19" s="8"/>
      <x:c r="E19" s="8"/>
      <x:c r="F19" s="8"/>
      <x:c r="G19" s="8"/>
      <x:c r="H19" s="2"/>
      <x:c r="I19" s="2"/>
      <x:c r="J19" s="2"/>
      <x:c r="K19" s="2"/>
      <x:c r="L19" s="2"/>
      <x:c r="M19" s="2"/>
      <x:c r="N19" s="2"/>
      <x:c r="O19" s="1"/>
    </x:row>
    <x:row r="20" ht="22" customHeight="1">
      <x:c r="A20" s="1"/>
      <x:c r="B20" s="1"/>
      <x:c r="C20" s="1" t="str">
        <x:v>Levered IRR: initial leverage (columns) versus interest rate (rows)</x:v>
      </x:c>
      <x:c r="D20" s="8"/>
      <x:c r="E20" s="8"/>
      <x:c r="F20" s="8"/>
      <x:c r="G20" s="8"/>
      <x:c r="H20" s="2"/>
      <x:c r="I20" s="2"/>
      <x:c r="J20" s="2"/>
      <x:c r="K20" s="2"/>
      <x:c r="L20" s="2"/>
      <x:c r="M20" s="2"/>
      <x:c r="N20" s="2"/>
      <x:c r="O20" s="1"/>
    </x:row>
    <x:row r="21" ht="22" customHeight="1">
      <x:c r="A21" s="1"/>
      <x:c r="B21" s="1"/>
      <x:c r="C21" s="1"/>
      <x:c r="D21" s="8"/>
      <x:c r="E21" s="8"/>
      <x:c r="F21" s="8"/>
      <x:c r="G21" s="8"/>
      <x:c r="H21" s="2"/>
      <x:c r="I21" s="2"/>
      <x:c r="J21" s="2"/>
      <x:c r="K21" s="2"/>
      <x:c r="L21" s="2"/>
      <x:c r="M21" s="2"/>
      <x:c r="N21" s="2"/>
      <x:c r="O21" s="1"/>
    </x:row>
    <x:row r="22" ht="22" customHeight="1">
      <x:c r="A22" s="1"/>
      <x:c r="B22" s="1"/>
      <x:c r="C22" s="1"/>
      <x:c r="D22" s="9" t="n">
        <x:f>IF(Returns!D12="READY",Returns!D6,"n.a.")</x:f>
        <x:v>0.07680534916625384</x:v>
      </x:c>
      <x:c r="E22" s="7" t="n">
        <x:v>0.3</x:v>
      </x:c>
      <x:c r="F22" s="7" t="n">
        <x:v>0.4</x:v>
      </x:c>
      <x:c r="G22" s="7" t="n">
        <x:v>0.5</x:v>
      </x:c>
      <x:c r="H22" s="2"/>
      <x:c r="I22" s="2"/>
      <x:c r="J22" s="2"/>
      <x:c r="K22" s="2"/>
      <x:c r="L22" s="2"/>
      <x:c r="M22" s="2"/>
      <x:c r="N22" s="2"/>
      <x:c r="O22" s="1"/>
    </x:row>
    <x:row r="23" ht="22" customHeight="1">
      <x:c r="A23" s="1"/>
      <x:c r="B23" s="1"/>
      <x:c r="C23" s="1"/>
      <x:c r="D23" s="7" t="n">
        <x:v>0.07</x:v>
      </x:c>
      <x:c r="E23" s="8" t="n">
        <x:f t="dataTable" ref="E23:G25" dt2D="1" r1="D8" r2="D9"/>
        <x:v>0.0804390235739</x:v>
      </x:c>
      <x:c r="F23" s="8" t="n">
        <x:v>0.0814560882141</x:v>
      </x:c>
      <x:c r="G23" s="8" t="n">
        <x:v>0.0827404307373</x:v>
      </x:c>
      <x:c r="H23" s="2"/>
      <x:c r="I23" s="2"/>
      <x:c r="J23" s="2"/>
      <x:c r="K23" s="2"/>
      <x:c r="L23" s="2"/>
      <x:c r="M23" s="2"/>
      <x:c r="N23" s="2"/>
      <x:c r="O23" s="1"/>
    </x:row>
    <x:row r="24" ht="22" customHeight="1">
      <x:c r="A24" s="1"/>
      <x:c r="B24" s="1"/>
      <x:c r="C24" s="1"/>
      <x:c r="D24" s="7" t="n">
        <x:v>0.08</x:v>
      </x:c>
      <x:c r="E24" s="8" t="n">
        <x:v>0.0773134403879</x:v>
      </x:c>
      <x:c r="F24" s="8" t="n">
        <x:v>0.0768053491663</x:v>
      </x:c>
      <x:c r="G24" s="8" t="n">
        <x:v>0.0761637674658</x:v>
      </x:c>
      <x:c r="H24" s="2"/>
      <x:c r="I24" s="2"/>
      <x:c r="J24" s="2"/>
      <x:c r="K24" s="2"/>
      <x:c r="L24" s="2"/>
      <x:c r="M24" s="2"/>
      <x:c r="N24" s="2"/>
      <x:c r="O24" s="1"/>
    </x:row>
    <x:row r="25" ht="22" customHeight="1">
      <x:c r="A25" s="1"/>
      <x:c r="B25" s="1"/>
      <x:c r="C25" s="1"/>
      <x:c r="D25" s="7" t="n">
        <x:v>0.09</x:v>
      </x:c>
      <x:c r="E25" s="8" t="n">
        <x:v>0.0741176567308</x:v>
      </x:c>
      <x:c r="F25" s="8" t="n">
        <x:v>0.0720466070951</x:v>
      </x:c>
      <x:c r="G25" s="8" t="n">
        <x:v>0.0694317393787</x:v>
      </x:c>
      <x:c r="H25" s="2"/>
      <x:c r="I25" s="2"/>
      <x:c r="J25" s="2"/>
      <x:c r="K25" s="2"/>
      <x:c r="L25" s="2"/>
      <x:c r="M25" s="2"/>
      <x:c r="N25" s="2"/>
      <x:c r="O25" s="1"/>
    </x:row>
    <x:row r="26" ht="22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1"/>
    </x:row>
    <x:row r="27" ht="22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1"/>
    </x:row>
    <x:row r="28" ht="22" customHeight="1">
      <x:c r="A28" s="1"/>
      <x:c r="B28" s="1"/>
      <x:c r="C28" s="1" t="str">
        <x:v>ASSUMPTION grids; centers match base case only. Native Excel recalculation still requires verification.</x:v>
      </x:c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1"/>
    </x:row>
    <x:row r="29" ht="22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1"/>
    </x:row>
    <x:row r="30" ht="22" customHeight="1">
      <x:c r="A30" s="1"/>
      <x:c r="B30" s="1"/>
      <x:c r="C30" s="1" t="str">
        <x:v>Excel: Automatic calculation including Data Tables; press Ctrl+Alt+F9 after changing inputs.</x:v>
      </x:c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1"/>
    </x:row>
    <x:row r="31" ht="22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1"/>
    </x:row>
    <x:row r="35" ht="22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1"/>
    </x:row>
    <x:row r="36" ht="22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1"/>
    </x:row>
    <x:row r="37" ht="22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1"/>
    </x:row>
    <x:row r="38" ht="22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1"/>
    </x:row>
    <x:row r="39" ht="22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1"/>
    </x:row>
    <x:row r="40" ht="22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1"/>
    </x:row>
    <x:row r="41" ht="22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1"/>
    </x:row>
    <x:row r="42" ht="22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1"/>
    </x:row>
    <x:row r="43" ht="22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1"/>
    </x:row>
    <x:row r="44" ht="22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1"/>
    </x:row>
    <x:row r="45" ht="22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Scenarios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3" t="str">
        <x:v>Driver</x:v>
      </x:c>
      <x:c r="D5" s="23" t="str">
        <x:v>Base</x:v>
      </x:c>
      <x:c r="E5" s="23" t="str">
        <x:v>Upside</x:v>
      </x:c>
      <x:c r="F5" s="23" t="str">
        <x:v>Downside</x:v>
      </x:c>
      <x:c r="G5" s="21"/>
      <x:c r="H5" s="21"/>
      <x:c r="I5" s="21"/>
      <x:c r="J5" s="21"/>
      <x:c r="K5" s="21"/>
      <x:c r="L5" s="21"/>
      <x:c r="M5" s="21"/>
      <x:c r="N5" s="21"/>
      <x:c r="O5" s="1"/>
    </x:row>
    <x:row r="6" ht="22" customHeight="1">
      <x:c r="A6" s="1"/>
      <x:c r="B6" s="1"/>
      <x:c r="C6" s="1" t="str">
        <x:v>Market rent growth</x:v>
      </x:c>
      <x:c r="D6" s="7" t="n">
        <x:v>0.03</x:v>
      </x:c>
      <x:c r="E6" s="7" t="n">
        <x:v>0.05</x:v>
      </x:c>
      <x:c r="F6" s="7" t="n">
        <x:v>0.01</x:v>
      </x:c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" t="str">
        <x:v>Exit cap rate</x:v>
      </x:c>
      <x:c r="D7" s="7" t="n">
        <x:v>0.065</x:v>
      </x:c>
      <x:c r="E7" s="7" t="n">
        <x:v>0.06</x:v>
      </x:c>
      <x:c r="F7" s="7" t="n">
        <x:v>0.075</x:v>
      </x:c>
      <x:c r="G7" s="2"/>
      <x:c r="H7" s="2"/>
      <x:c r="I7" s="2"/>
      <x:c r="J7" s="2"/>
      <x:c r="K7" s="2"/>
      <x:c r="L7" s="2"/>
      <x:c r="M7" s="2"/>
      <x:c r="N7" s="2"/>
      <x:c r="O7" s="1"/>
    </x:row>
    <x:row r="8" ht="22" customHeight="1">
      <x:c r="A8" s="1"/>
      <x:c r="B8" s="1"/>
      <x:c r="C8" s="1" t="str">
        <x:v>Initial leverage</x:v>
      </x:c>
      <x:c r="D8" s="7" t="n">
        <x:v>0.4</x:v>
      </x:c>
      <x:c r="E8" s="7" t="n">
        <x:v>0.4</x:v>
      </x:c>
      <x:c r="F8" s="7" t="n">
        <x:v>0.4</x:v>
      </x:c>
      <x:c r="G8" s="2"/>
      <x:c r="H8" s="2"/>
      <x:c r="I8" s="2"/>
      <x:c r="J8" s="2"/>
      <x:c r="K8" s="2"/>
      <x:c r="L8" s="2"/>
      <x:c r="M8" s="2"/>
      <x:c r="N8" s="2"/>
      <x:c r="O8" s="1"/>
    </x:row>
    <x:row r="9" ht="22" customHeight="1">
      <x:c r="A9" s="1"/>
      <x:c r="B9" s="1"/>
      <x:c r="C9" s="1" t="str">
        <x:v>Debt interest rate</x:v>
      </x:c>
      <x:c r="D9" s="7" t="n">
        <x:v>0.08</x:v>
      </x:c>
      <x:c r="E9" s="7" t="n">
        <x:v>0.075</x:v>
      </x:c>
      <x:c r="F9" s="7" t="n">
        <x:v>0.095</x:v>
      </x:c>
      <x:c r="G9" s="2"/>
      <x:c r="H9" s="2"/>
      <x:c r="I9" s="2"/>
      <x:c r="J9" s="2"/>
      <x:c r="K9" s="2"/>
      <x:c r="L9" s="2"/>
      <x:c r="M9" s="2"/>
      <x:c r="N9" s="2"/>
      <x:c r="O9" s="1"/>
    </x:row>
    <x:row r="10" ht="22" customHeight="1">
      <x:c r="A10" s="1"/>
      <x:c r="B10" s="1"/>
      <x:c r="C10" s="1" t="str">
        <x:v>Collection loss</x:v>
      </x:c>
      <x:c r="D10" s="7" t="n">
        <x:v>0</x:v>
      </x:c>
      <x:c r="E10" s="7" t="n">
        <x:v>0</x:v>
      </x:c>
      <x:c r="F10" s="7" t="n">
        <x:v>0.02</x:v>
      </x:c>
      <x:c r="G10" s="2"/>
      <x:c r="H10" s="2"/>
      <x:c r="I10" s="2"/>
      <x:c r="J10" s="2"/>
      <x:c r="K10" s="2"/>
      <x:c r="L10" s="2"/>
      <x:c r="M10" s="2"/>
      <x:c r="N10" s="2"/>
      <x:c r="O10" s="1"/>
    </x:row>
    <x:row r="11" ht="22" customHeight="1">
      <x:c r="A11" s="1"/>
      <x:c r="B11" s="1"/>
      <x:c r="C11" s="1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1"/>
    </x:row>
    <x:row r="12" ht="22" customHeight="1">
      <x:c r="A12" s="1"/>
      <x:c r="B12" s="1"/>
      <x:c r="C12" s="1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1"/>
    </x:row>
    <x:row r="13" ht="22" customHeight="1">
      <x:c r="A13" s="1"/>
      <x:c r="B13" s="1"/>
      <x:c r="C13" s="1" t="str">
        <x:v>ASSUMPTIONS: base 3% growth / 6.5% cap / 8% debt; upside 5% / 6% / 7.5%; downside 1% / 7.5% / 9.5%.</x:v>
      </x:c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1"/>
    </x:row>
    <x:row r="14" ht="22" customHeight="1">
      <x:c r="A14" s="1"/>
      <x:c r="B14" s="1"/>
      <x:c r="C14" s="1" t="str">
        <x:v>All cases assume 40% initial LTV; downside adds 2% collection loss. No market forecast is asserted.</x:v>
      </x:c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1"/>
    </x:row>
    <x:row r="15" ht="22" customHeight="1">
      <x:c r="A15" s="1"/>
      <x:c r="B15" s="1"/>
      <x:c r="C15" s="1" t="str">
        <x:v>Change Assumptions D6 to evaluate a case. All eight tabs use the same forecast.</x:v>
      </x:c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1"/>
    </x:row>
    <x:row r="16" ht="22" customHeight="1">
      <x:c r="A16" s="1"/>
      <x:c r="B16" s="1"/>
      <x:c r="C16" s="1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1"/>
    </x:row>
    <x:row r="17" ht="22" customHeight="1">
      <x:c r="A17" s="1"/>
      <x:c r="B17" s="1"/>
      <x:c r="C17" s="1" t="str">
        <x:v>Selected-case levered IRR</x:v>
      </x:c>
      <x:c r="D17" s="9" t="n">
        <x:f>IF(Returns!D12="READY",Returns!D6,"n.a.")</x:f>
        <x:v>0.07680534916625384</x:v>
      </x:c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1"/>
    </x:row>
    <x:row r="18" ht="22" customHeight="1">
      <x:c r="A18" s="1"/>
      <x:c r="B18" s="1"/>
      <x:c r="C18" s="1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1"/>
    </x:row>
    <x:row r="19" ht="22" customHeight="1">
      <x:c r="A19" s="1"/>
      <x:c r="B19" s="1"/>
      <x:c r="C19" s="1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1"/>
    </x:row>
    <x:row r="20" ht="22" customHeight="1">
      <x:c r="A20" s="1"/>
      <x:c r="B20" s="1"/>
      <x:c r="C20" s="1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1"/>
    </x:row>
    <x:row r="21" ht="22" customHeight="1">
      <x:c r="A21" s="1"/>
      <x:c r="B21" s="1"/>
      <x:c r="C21" s="1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1"/>
    </x:row>
    <x:row r="22" ht="22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1"/>
    </x:row>
    <x:row r="23" ht="22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1"/>
    </x:row>
    <x:row r="24" ht="22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1"/>
    </x:row>
    <x:row r="25" ht="22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1"/>
    </x:row>
    <x:row r="26" ht="22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1"/>
    </x:row>
    <x:row r="27" ht="22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1"/>
    </x:row>
    <x:row r="28" ht="22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1"/>
    </x:row>
    <x:row r="29" ht="22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1"/>
    </x:row>
    <x:row r="30" ht="22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1"/>
    </x:row>
    <x:row r="31" ht="22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1"/>
    </x:row>
    <x:row r="35" ht="22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1"/>
    </x:row>
    <x:row r="36" ht="22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1"/>
    </x:row>
    <x:row r="37" ht="22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1"/>
    </x:row>
    <x:row r="38" ht="22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1"/>
    </x:row>
    <x:row r="39" ht="22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1"/>
    </x:row>
    <x:row r="40" ht="22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1"/>
    </x:row>
    <x:row r="41" ht="22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1"/>
    </x:row>
    <x:row r="42" ht="22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1"/>
    </x:row>
    <x:row r="43" ht="22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1"/>
    </x:row>
    <x:row r="44" ht="22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1"/>
    </x:row>
    <x:row r="45" ht="22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35" hidden="0" customWidth="1"/>
    <x:col min="4" max="4" width="4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</x:cols>
  <x:sheetData>
    <x:row r="1" ht="22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2" customHeight="1">
      <x:c r="A2" s="1"/>
      <x:c r="B2" s="1"/>
      <x:c r="C2" s="3" t="str">
        <x:v>Checks</x:v>
      </x:c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 ht="22" customHeight="1">
      <x:c r="A3" s="1"/>
      <x:c r="B3" s="1"/>
      <x:c r="C3" s="1" t="str">
        <x:v>Case selected</x:v>
      </x:c>
      <x:c r="D3" s="4" t="str">
        <x:f>CHOOSE(Assumptions!D6,"Base","Upside","Downside")</x:f>
        <x:v>Base</x:v>
      </x:c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 ht="22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22" customHeight="1">
      <x:c r="A5" s="1"/>
      <x:c r="B5" s="1"/>
      <x:c r="C5" s="1"/>
      <x:c r="D5" s="21"/>
      <x:c r="E5" s="21"/>
      <x:c r="F5" s="21"/>
      <x:c r="G5" s="21"/>
      <x:c r="H5" s="21"/>
      <x:c r="I5" s="21"/>
      <x:c r="J5" s="21"/>
      <x:c r="K5" s="21"/>
      <x:c r="L5" s="21"/>
      <x:c r="M5" s="21"/>
      <x:c r="N5" s="21"/>
      <x:c r="O5" s="1"/>
    </x:row>
    <x:row r="6" ht="22" customHeight="1">
      <x:c r="A6" s="1"/>
      <x:c r="B6" s="1"/>
      <x:c r="C6" s="1" t="str">
        <x:v>Source and assumption documentation</x:v>
      </x:c>
      <x:c r="D6" s="10" t="str">
        <x:v>Source audit complete; native Excel verification pending</x:v>
      </x:c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1"/>
    </x:row>
    <x:row r="7" ht="22" customHeight="1">
      <x:c r="A7" s="1"/>
      <x:c r="B7" s="1"/>
      <x:c r="C7" s="1" t="str">
        <x:v>Assumption completeness</x:v>
      </x:c>
      <x:c r="D7" s="10" t="str">
        <x:f>Assumptions!D8</x:f>
        <x:v>READY</x:v>
      </x:c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1"/>
    </x:row>
    <x:row r="8" ht="22" customHeight="1">
      <x:c r="A8" s="1"/>
      <x:c r="B8" s="1"/>
      <x:c r="C8" s="1" t="str">
        <x:v>Rent roll completeness</x:v>
      </x:c>
      <x:c r="D8" s="10" t="str">
        <x:f>'Rent Roll'!D18</x:f>
        <x:v>READY</x:v>
      </x:c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1"/>
    </x:row>
    <x:row r="9" ht="22" customHeight="1">
      <x:c r="A9" s="1"/>
      <x:c r="B9" s="1"/>
      <x:c r="C9" s="1" t="str">
        <x:v>Sources less uses at purchase</x:v>
      </x:c>
      <x:c r="D9" s="10" t="n">
        <x:f>IF(Returns!D12&lt;&gt;"READY","n.a.",Returns!D21+Returns!D26+Returns!D19-Returns!D23)</x:f>
        <x:v>8.668621376273222e-13</x:v>
      </x:c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1"/>
    </x:row>
    <x:row r="10" ht="22" customHeight="1">
      <x:c r="A10" s="1"/>
      <x:c r="B10" s="1"/>
      <x:c r="C10" s="1" t="str">
        <x:v>Debt roll-forward residual</x:v>
      </x:c>
      <x:c r="D10" s="10" t="n">
        <x:f>IF(Returns!D12&lt;&gt;"READY","n.a.",'Debt Schedule'!D7-SUM('Debt Schedule'!D10:M10)-'Debt Schedule'!M11)</x:f>
        <x:v>0</x:v>
      </x:c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1"/>
    </x:row>
    <x:row r="11" ht="22" customHeight="1">
      <x:c r="A11" s="1"/>
      <x:c r="B11" s="1"/>
      <x:c r="C11" s="1" t="str">
        <x:v>Balloon repayment residual</x:v>
      </x:c>
      <x:c r="D11" s="10" t="n">
        <x:f>IF(Returns!D12&lt;&gt;"READY","n.a.",'Debt Schedule'!M11-Returns!N22)</x:f>
        <x:v>0</x:v>
      </x:c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1"/>
    </x:row>
    <x:row r="12" ht="22" customHeight="1">
      <x:c r="A12" s="1"/>
      <x:c r="B12" s="1"/>
      <x:c r="C12" s="1" t="str">
        <x:v>Equity flow reconciliation</x:v>
      </x:c>
      <x:c r="D12" s="10" t="n">
        <x:f>IF(Returns!D12&lt;&gt;"READY","n.a.",SUM(Returns!D24:N24)-SUM(Returns!D19:N19)+SUM(Returns!D20:N20)-SUM(Returns!D21:N21)+SUM(Returns!D22:N22)+SUM(Returns!D23:N23))</x:f>
        <x:v>2.7711166694643907e-12</x:v>
      </x:c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1"/>
    </x:row>
    <x:row r="13" ht="22" customHeight="1">
      <x:c r="A13" s="1"/>
      <x:c r="B13" s="1"/>
      <x:c r="C13" s="1" t="str">
        <x:v>Terminal NOI positive</x:v>
      </x:c>
      <x:c r="D13" s="10" t="str">
        <x:f>IF(Returns!D12&lt;&gt;"READY","n.a.",IF('Operating Cash Flow'!N11&gt;0,"PASS","FAIL"))</x:f>
        <x:v>PASS</x:v>
      </x:c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1"/>
    </x:row>
    <x:row r="14" ht="22" customHeight="1">
      <x:c r="A14" s="1"/>
      <x:c r="B14" s="1"/>
      <x:c r="C14" s="1" t="str">
        <x:v>Sensitivity center: cap/growth</x:v>
      </x:c>
      <x:c r="D14" s="10" t="n">
        <x:f>IF(AND(ISNUMBER(Sensitivities!F16),ISNUMBER(Returns!D6)),Sensitivities!F16-Returns!D6,"n.a.")</x:f>
        <x:v>-0.01192204144395384</x:v>
      </x:c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1"/>
    </x:row>
    <x:row r="15" ht="22" customHeight="1">
      <x:c r="A15" s="1"/>
      <x:c r="B15" s="1"/>
      <x:c r="C15" s="1" t="str">
        <x:v>Sensitivity center: debt</x:v>
      </x:c>
      <x:c r="D15" s="10" t="n">
        <x:f>IF(AND(ISNUMBER(Sensitivities!F24),ISNUMBER(Returns!D6)),Sensitivities!F24-Returns!D6,"n.a.")</x:f>
        <x:v>-0.05620647693845384</x:v>
      </x:c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1"/>
    </x:row>
    <x:row r="16" ht="22" customHeight="1">
      <x:c r="A16" s="1"/>
      <x:c r="B16" s="1"/>
      <x:c r="C16" s="1"/>
      <x:c r="D16" s="10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1"/>
    </x:row>
    <x:row r="17" ht="22" customHeight="1">
      <x:c r="A17" s="1"/>
      <x:c r="B17" s="1"/>
      <x:c r="C17" s="1"/>
      <x:c r="D17" s="10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1"/>
    </x:row>
    <x:row r="18" ht="22" customHeight="1">
      <x:c r="A18" s="1"/>
      <x:c r="B18" s="1"/>
      <x:c r="C18" s="1"/>
      <x:c r="D18" s="10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1"/>
    </x:row>
    <x:row r="19" ht="22" customHeight="1">
      <x:c r="A19" s="1"/>
      <x:c r="B19" s="1"/>
      <x:c r="C19" s="1" t="str">
        <x:v>Numeric reconciliation tolerance: absolute residual &lt;= 0.000001 crore.</x:v>
      </x:c>
      <x:c r="D19" s="10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1"/>
    </x:row>
    <x:row r="20" ht="22" customHeight="1">
      <x:c r="A20" s="1"/>
      <x:c r="B20" s="1"/>
      <x:c r="C20" s="1"/>
      <x:c r="D20" s="10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1"/>
    </x:row>
    <x:row r="21" ht="22" customHeight="1">
      <x:c r="A21" s="1"/>
      <x:c r="B21" s="1"/>
      <x:c r="C21" s="1" t="str">
        <x:v>No independent professional review. Automated arithmetic review is recorded with the package.</x:v>
      </x:c>
      <x:c r="D21" s="10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1"/>
    </x:row>
    <x:row r="22" ht="22" customHeight="1">
      <x:c r="A22" s="1"/>
      <x:c r="B22" s="1"/>
      <x:c r="C22" s="1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1"/>
    </x:row>
    <x:row r="23" ht="22" customHeight="1">
      <x:c r="A23" s="1"/>
      <x:c r="B23" s="1"/>
      <x:c r="C23" s="1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1"/>
    </x:row>
    <x:row r="24" ht="22" customHeight="1">
      <x:c r="A24" s="1"/>
      <x:c r="B24" s="1"/>
      <x:c r="C24" s="1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1"/>
    </x:row>
    <x:row r="25" ht="22" customHeight="1">
      <x:c r="A25" s="1"/>
      <x:c r="B25" s="1"/>
      <x:c r="C25" s="1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1"/>
    </x:row>
    <x:row r="26" ht="22" customHeight="1">
      <x:c r="A26" s="1"/>
      <x:c r="B26" s="1"/>
      <x:c r="C26" s="1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1"/>
    </x:row>
    <x:row r="27" ht="22" customHeight="1">
      <x:c r="A27" s="1"/>
      <x:c r="B27" s="1"/>
      <x:c r="C27" s="1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1"/>
    </x:row>
    <x:row r="28" ht="22" customHeight="1">
      <x:c r="A28" s="1"/>
      <x:c r="B28" s="1"/>
      <x:c r="C28" s="1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1"/>
    </x:row>
    <x:row r="29" ht="22" customHeight="1">
      <x:c r="A29" s="1"/>
      <x:c r="B29" s="1"/>
      <x:c r="C29" s="1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1"/>
    </x:row>
    <x:row r="30" ht="22" customHeight="1">
      <x:c r="A30" s="1"/>
      <x:c r="B30" s="1"/>
      <x:c r="C30" s="1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1"/>
    </x:row>
    <x:row r="31" ht="22" customHeight="1">
      <x:c r="A31" s="1"/>
      <x:c r="B31" s="1"/>
      <x:c r="C31" s="1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1"/>
    </x:row>
    <x:row r="32" ht="22" customHeight="1">
      <x:c r="A32" s="1"/>
      <x:c r="B32" s="1"/>
      <x:c r="C32" s="1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1"/>
    </x:row>
    <x:row r="33" ht="22" customHeight="1">
      <x:c r="A33" s="1"/>
      <x:c r="B33" s="1"/>
      <x:c r="C33" s="1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1"/>
    </x:row>
    <x:row r="34" ht="22" customHeight="1">
      <x:c r="A34" s="1"/>
      <x:c r="B34" s="1"/>
      <x:c r="C34" s="1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1"/>
    </x:row>
    <x:row r="35" ht="22" customHeight="1">
      <x:c r="A35" s="1"/>
      <x:c r="B35" s="1"/>
      <x:c r="C35" s="1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1"/>
    </x:row>
    <x:row r="36" ht="22" customHeight="1">
      <x:c r="A36" s="1"/>
      <x:c r="B36" s="1"/>
      <x:c r="C36" s="1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1"/>
    </x:row>
    <x:row r="37" ht="22" customHeight="1">
      <x:c r="A37" s="1"/>
      <x:c r="B37" s="1"/>
      <x:c r="C37" s="1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1"/>
    </x:row>
    <x:row r="38" ht="22" customHeight="1">
      <x:c r="A38" s="1"/>
      <x:c r="B38" s="1"/>
      <x:c r="C38" s="1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1"/>
    </x:row>
    <x:row r="39" ht="22" customHeight="1">
      <x:c r="A39" s="1"/>
      <x:c r="B39" s="1"/>
      <x:c r="C39" s="1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1"/>
    </x:row>
    <x:row r="40" ht="22" customHeight="1">
      <x:c r="A40" s="1"/>
      <x:c r="B40" s="1"/>
      <x:c r="C40" s="1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1"/>
    </x:row>
    <x:row r="41" ht="22" customHeight="1">
      <x:c r="A41" s="1"/>
      <x:c r="B41" s="1"/>
      <x:c r="C41" s="1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1"/>
    </x:row>
    <x:row r="42" ht="22" customHeight="1">
      <x:c r="A42" s="1"/>
      <x:c r="B42" s="1"/>
      <x:c r="C42" s="1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1"/>
    </x:row>
    <x:row r="43" ht="22" customHeight="1">
      <x:c r="A43" s="1"/>
      <x:c r="B43" s="1"/>
      <x:c r="C43" s="1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1"/>
    </x:row>
    <x:row r="44" ht="22" customHeight="1">
      <x:c r="A44" s="1"/>
      <x:c r="B44" s="1"/>
      <x:c r="C44" s="1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1"/>
    </x:row>
    <x:row r="45" ht="22" customHeight="1">
      <x:c r="A45" s="1"/>
      <x:c r="B45" s="1"/>
      <x:c r="C45" s="1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1"/>
    </x:row>
    <x:row r="46" ht="22" customHeight="1">
      <x:c r="A46" s="1"/>
      <x:c r="B46" s="1"/>
      <x:c r="C46" s="1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1"/>
    </x:row>
    <x:row r="47" ht="22" customHeight="1">
      <x:c r="A47" s="1"/>
      <x:c r="B47" s="1"/>
      <x:c r="C47" s="1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1"/>
    </x:row>
    <x:row r="48" ht="22" customHeight="1">
      <x:c r="A48" s="1"/>
      <x:c r="B48" s="1"/>
      <x:c r="C48" s="1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1"/>
    </x:row>
    <x:row r="49" ht="22" customHeight="1">
      <x:c r="A49" s="1"/>
      <x:c r="B49" s="1"/>
      <x:c r="C49" s="1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1"/>
    </x:row>
    <x:row r="50" ht="22" customHeight="1">
      <x:c r="A50" s="1"/>
      <x:c r="B50" s="1"/>
      <x:c r="C50" s="1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1"/>
    </x:row>
    <x:row r="51" ht="22" customHeight="1">
      <x:c r="A51" s="1"/>
      <x:c r="B51" s="1"/>
      <x:c r="C51" s="1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1"/>
    </x:row>
    <x:row r="52" ht="22" customHeight="1">
      <x:c r="A52" s="1"/>
      <x:c r="B52" s="1"/>
      <x:c r="C52" s="1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1"/>
    </x:row>
    <x:row r="53" ht="22" customHeight="1">
      <x:c r="A53" s="1"/>
      <x:c r="B53" s="1"/>
      <x:c r="C53" s="1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1"/>
    </x:row>
    <x:row r="54" ht="22" customHeight="1">
      <x:c r="A54" s="1"/>
      <x:c r="B54" s="1"/>
      <x:c r="C54" s="1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1"/>
    </x:row>
    <x:row r="55" ht="22" customHeight="1">
      <x:c r="A55" s="1"/>
      <x:c r="B55" s="1"/>
      <x:c r="C55" s="1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1"/>
    </x:row>
    <x:row r="56" ht="22" customHeight="1">
      <x:c r="A56" s="1"/>
      <x:c r="B56" s="1"/>
      <x:c r="C56" s="1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1"/>
    </x:row>
    <x:row r="57" ht="22" customHeight="1">
      <x:c r="A57" s="1"/>
      <x:c r="B57" s="1"/>
      <x:c r="C57" s="1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1"/>
    </x:row>
    <x:row r="58" ht="22" customHeight="1">
      <x:c r="A58" s="1"/>
      <x:c r="B58" s="1"/>
      <x:c r="C58" s="1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1"/>
    </x:row>
    <x:row r="59" ht="22" customHeight="1">
      <x:c r="A59" s="1"/>
      <x:c r="B59" s="1"/>
      <x:c r="C59" s="1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1"/>
    </x:row>
    <x:row r="60" ht="22" customHeight="1">
      <x:c r="A60" s="1"/>
      <x:c r="B60" s="1"/>
      <x:c r="C60" s="1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1"/>
    </x:row>
    <x:row r="61" ht="22" customHeight="1">
      <x:c r="A61" s="1"/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  <x:c r="M61" s="1"/>
      <x:c r="N61" s="1"/>
      <x:c r="O61" s="1"/>
    </x:row>
    <x:row r="62" ht="22" customHeight="1">
      <x:c r="A62" s="1"/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  <x:c r="M62" s="1"/>
      <x:c r="N62" s="1"/>
      <x:c r="O62" s="1"/>
    </x:row>
    <x:row r="63" ht="22" customHeight="1">
      <x:c r="A63" s="1"/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  <x:c r="M63" s="1"/>
      <x:c r="N63" s="1"/>
      <x:c r="O63" s="1"/>
    </x:row>
    <x:row r="64" ht="22" customHeight="1">
      <x:c r="A64" s="1"/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  <x:c r="M64" s="1"/>
      <x:c r="N64" s="1"/>
      <x:c r="O64" s="1"/>
    </x:row>
    <x:row r="65" ht="22" customHeight="1">
      <x:c r="A65" s="1"/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  <x:c r="M65" s="1"/>
      <x:c r="N65" s="1"/>
      <x:c r="O65" s="1"/>
    </x:row>
  </x:sheetData>
  <x:conditionalFormatting sqref="D9:D12">
    <x:cfRule type="cellIs" dxfId="0" priority="1" operator="notBetween">
      <x:formula>-0.000001</x:formula>
      <x:formula>0.000001</x:formula>
    </x:cfRule>
  </x:conditionalFormatting>
  <x:conditionalFormatting sqref="D14:D15">
    <x:cfRule type="cellIs" dxfId="1" priority="2" operator="notBetween">
      <x:formula>-0.000001</x:formula>
      <x:formula>0.000001</x:formula>
    </x:cfRule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2" max="2" width="43" hidden="0" customWidth="1"/>
    <x:col min="3" max="3" width="20" hidden="0" customWidth="1"/>
    <x:col min="4" max="4" width="65" hidden="0" customWidth="1"/>
    <x:col min="5" max="5" width="24" hidden="0" customWidth="1"/>
    <x:col min="6" max="6" width="24" hidden="0" customWidth="1"/>
    <x:col min="7" max="7" width="24" hidden="0" customWidth="1"/>
  </x:cols>
  <x:sheetData>
    <x:row r="2">
      <x:c r="B2" s="1" t="str">
        <x:v>Embassy / Manyata public-data case</x:v>
      </x:c>
      <x:c r="C2" s="1"/>
      <x:c r="D2" s="1"/>
      <x:c r="E2" s="1"/>
      <x:c r="F2" s="1"/>
      <x:c r="G2" s="1"/>
    </x:row>
    <x:row r="3">
      <x:c r="B3" s="1" t="str">
        <x:v>Historical case; access date 22 October 2026</x:v>
      </x:c>
      <x:c r="C3" s="1"/>
      <x:c r="D3" s="1"/>
      <x:c r="E3" s="1"/>
      <x:c r="F3" s="1"/>
      <x:c r="G3" s="1"/>
    </x:row>
    <x:row r="4">
      <x:c r="B4" s="1"/>
      <x:c r="C4" s="1"/>
      <x:c r="D4" s="1"/>
      <x:c r="E4" s="1"/>
      <x:c r="F4" s="1"/>
      <x:c r="G4" s="1"/>
    </x:row>
    <x:row r="5">
      <x:c r="B5" s="1"/>
      <x:c r="C5" s="1"/>
      <x:c r="D5" s="1"/>
      <x:c r="E5" s="1"/>
      <x:c r="F5" s="1"/>
      <x:c r="G5" s="1"/>
    </x:row>
    <x:row r="6" ht="30" customHeight="1">
      <x:c r="B6" s="1" t="str">
        <x:v>March 2026 GAV (INR crore)</x:v>
      </x:c>
      <x:c r="C6" s="27" t="n">
        <x:v>70540</x:v>
      </x:c>
      <x:c r="D6" s="25" t="str">
        <x:v>FY26 filing PDF p38</x:v>
      </x:c>
      <x:c r="E6" s="1"/>
      <x:c r="F6" s="1"/>
      <x:c r="G6" s="1"/>
    </x:row>
    <x:row r="7" ht="30" customHeight="1">
      <x:c r="B7" s="1" t="str">
        <x:v>Other assets (crore)</x:v>
      </x:c>
      <x:c r="C7" s="27" t="n">
        <x:v>5202</x:v>
      </x:c>
      <x:c r="D7" s="25" t="str">
        <x:v>FY26 filing PDF p38</x:v>
      </x:c>
      <x:c r="E7" s="1"/>
      <x:c r="F7" s="1"/>
      <x:c r="G7" s="1"/>
    </x:row>
    <x:row r="8" ht="30" customHeight="1">
      <x:c r="B8" s="1" t="str">
        <x:v>Other liabilities (crore)</x:v>
      </x:c>
      <x:c r="C8" s="27" t="n">
        <x:v>6757</x:v>
      </x:c>
      <x:c r="D8" s="25" t="str">
        <x:v>FY26 filing PDF p38</x:v>
      </x:c>
      <x:c r="E8" s="1"/>
      <x:c r="F8" s="1"/>
      <x:c r="G8" s="1"/>
    </x:row>
    <x:row r="9" ht="30" customHeight="1">
      <x:c r="B9" s="1" t="str">
        <x:v>Gross debt (crore)</x:v>
      </x:c>
      <x:c r="C9" s="27" t="n">
        <x:v>22385</x:v>
      </x:c>
      <x:c r="D9" s="25" t="str">
        <x:v>FY26 filing PDF p38</x:v>
      </x:c>
      <x:c r="E9" s="1"/>
      <x:c r="F9" s="1"/>
      <x:c r="G9" s="1"/>
    </x:row>
    <x:row r="10" ht="30" customHeight="1">
      <x:c r="B10" s="1" t="str">
        <x:v>Reported NAV (crore)</x:v>
      </x:c>
      <x:c r="C10" s="27" t="n">
        <x:v>46600</x:v>
      </x:c>
      <x:c r="D10" s="25" t="str">
        <x:v>FY26 filing PDF p38</x:v>
      </x:c>
      <x:c r="E10" s="1"/>
      <x:c r="F10" s="1"/>
      <x:c r="G10" s="1"/>
    </x:row>
    <x:row r="11" ht="30" customHeight="1">
      <x:c r="B11" s="1" t="str">
        <x:v>Units outstanding</x:v>
      </x:c>
      <x:c r="C11" s="24" t="n">
        <x:v>947893743</x:v>
      </x:c>
      <x:c r="D11" s="25" t="str">
        <x:v>FY26 p38; Q1 PDF p73</x:v>
      </x:c>
      <x:c r="E11" s="1"/>
      <x:c r="F11" s="1"/>
      <x:c r="G11" s="1"/>
    </x:row>
    <x:row r="12" ht="30" customHeight="1">
      <x:c r="B12" s="1" t="str">
        <x:v>Reported NAV / unit (INR)</x:v>
      </x:c>
      <x:c r="C12" s="27" t="n">
        <x:v>491.62</x:v>
      </x:c>
      <x:c r="D12" s="25" t="str">
        <x:v>FY26 filing PDF p38</x:v>
      </x:c>
      <x:c r="E12" s="1"/>
      <x:c r="F12" s="1"/>
      <x:c r="G12" s="1"/>
    </x:row>
    <x:row r="13" ht="30" customHeight="1">
      <x:c r="B13" s="1" t="str">
        <x:v>Price 30 June 2026 (INR)</x:v>
      </x:c>
      <x:c r="C13" s="27" t="n">
        <x:v>438.04</x:v>
      </x:c>
      <x:c r="D13" s="25" t="str">
        <x:v>Q1 PDF p55; NSE close disclosed by issuer</x:v>
      </x:c>
      <x:c r="E13" s="1"/>
      <x:c r="F13" s="1"/>
      <x:c r="G13" s="1"/>
    </x:row>
    <x:row r="14">
      <x:c r="B14" s="1"/>
      <x:c r="C14" s="28"/>
      <x:c r="D14" s="1"/>
      <x:c r="E14" s="1"/>
      <x:c r="F14" s="1"/>
      <x:c r="G14" s="1"/>
    </x:row>
    <x:row r="15">
      <x:c r="B15" s="1" t="str">
        <x:v>Calculated March NAV (crore)</x:v>
      </x:c>
      <x:c r="C15" s="29" t="n">
        <x:f>C6+C7-C8-C9</x:f>
        <x:v>46600</x:v>
      </x:c>
      <x:c r="D15" s="1"/>
      <x:c r="E15" s="1"/>
      <x:c r="F15" s="1"/>
      <x:c r="G15" s="1"/>
    </x:row>
    <x:row r="16">
      <x:c r="B16" s="1" t="str">
        <x:v>Calculated NAV / unit</x:v>
      </x:c>
      <x:c r="C16" s="29" t="n">
        <x:f>C15*10000000/C11</x:f>
        <x:v>491.61628446364796</x:v>
      </x:c>
      <x:c r="D16" s="1"/>
      <x:c r="E16" s="1"/>
      <x:c r="F16" s="1"/>
      <x:c r="G16" s="1"/>
    </x:row>
    <x:row r="17">
      <x:c r="B17" s="1" t="str">
        <x:v>Price / reported March NAV - 1</x:v>
      </x:c>
      <x:c r="C17" s="30" t="n">
        <x:f>C13/C12-1</x:f>
        <x:v>-0.10898661567877621</x:v>
      </x:c>
      <x:c r="D17" s="1"/>
      <x:c r="E17" s="1"/>
      <x:c r="F17" s="1"/>
      <x:c r="G17" s="1"/>
    </x:row>
    <x:row r="18">
      <x:c r="B18" s="1" t="str">
        <x:v>NAV rounding residual (crore)</x:v>
      </x:c>
      <x:c r="C18" s="29" t="n">
        <x:f>C15-C10</x:f>
        <x:v>0</x:v>
      </x:c>
      <x:c r="D18" s="1"/>
      <x:c r="E18" s="1"/>
      <x:c r="F18" s="1"/>
      <x:c r="G18" s="1"/>
    </x:row>
    <x:row r="19">
      <x:c r="B19" s="1"/>
      <x:c r="C19" s="28"/>
      <x:c r="D19" s="1"/>
      <x:c r="E19" s="1"/>
      <x:c r="F19" s="1"/>
      <x:c r="G19" s="1"/>
    </x:row>
    <x:row r="20">
      <x:c r="B20" s="1"/>
      <x:c r="C20" s="28"/>
      <x:c r="D20" s="1"/>
      <x:c r="E20" s="1"/>
      <x:c r="F20" s="1"/>
      <x:c r="G20" s="1"/>
    </x:row>
    <x:row r="21" ht="30" customHeight="1">
      <x:c r="B21" s="1" t="str">
        <x:v>June debt amortised cost (INR mn)</x:v>
      </x:c>
      <x:c r="C21" s="27" t="n">
        <x:v>233491</x:v>
      </x:c>
      <x:c r="D21" s="25" t="str">
        <x:v>Q1 PDF p67</x:v>
      </x:c>
      <x:c r="E21" s="1"/>
      <x:c r="F21" s="1"/>
      <x:c r="G21" s="1"/>
    </x:row>
    <x:row r="22" ht="30" customHeight="1">
      <x:c r="B22" s="1" t="str">
        <x:v>June cash deduction (INR mn)</x:v>
      </x:c>
      <x:c r="C22" s="27" t="n">
        <x:v>14697</x:v>
      </x:c>
      <x:c r="D22" s="25" t="str">
        <x:v>Q1 PDF p67</x:v>
      </x:c>
      <x:c r="E22" s="1"/>
      <x:c r="F22" s="1"/>
      <x:c r="G22" s="1"/>
    </x:row>
    <x:row r="23" ht="30" customHeight="1">
      <x:c r="B23" s="1" t="str">
        <x:v>Reported June net debt (INR mn)</x:v>
      </x:c>
      <x:c r="C23" s="27" t="n">
        <x:v>218795</x:v>
      </x:c>
      <x:c r="D23" s="25" t="str">
        <x:v>Q1 PDF p67</x:v>
      </x:c>
      <x:c r="E23" s="1"/>
      <x:c r="F23" s="1"/>
      <x:c r="G23" s="1"/>
    </x:row>
    <x:row r="24" ht="30" customHeight="1">
      <x:c r="B24" s="1" t="str">
        <x:v>June debt principal (INR mn)</x:v>
      </x:c>
      <x:c r="C24" s="27" t="n">
        <x:v>234039</x:v>
      </x:c>
      <x:c r="D24" s="25" t="str">
        <x:v>Q1 PDF p67</x:v>
      </x:c>
      <x:c r="E24" s="1"/>
      <x:c r="F24" s="1"/>
      <x:c r="G24" s="1"/>
    </x:row>
    <x:row r="25">
      <x:c r="B25" s="1" t="str">
        <x:v>Net debt reconciliation residual (mn)</x:v>
      </x:c>
      <x:c r="C25" s="29" t="n">
        <x:f>C21-C22-C23</x:f>
        <x:v>-1</x:v>
      </x:c>
      <x:c r="D25" s="1"/>
      <x:c r="E25" s="1"/>
      <x:c r="F25" s="1"/>
      <x:c r="G25" s="1"/>
    </x:row>
    <x:row r="26">
      <x:c r="B26" s="1" t="str">
        <x:v>Principal less amortised cost (mn)</x:v>
      </x:c>
      <x:c r="C26" s="29" t="n">
        <x:f>C24-C21</x:f>
        <x:v>548</x:v>
      </x:c>
      <x:c r="D26" s="1"/>
      <x:c r="E26" s="1"/>
      <x:c r="F26" s="1"/>
      <x:c r="G26" s="1"/>
    </x:row>
    <x:row r="27">
      <x:c r="B27" s="1"/>
      <x:c r="C27" s="28"/>
      <x:c r="D27" s="1"/>
      <x:c r="E27" s="1"/>
      <x:c r="F27" s="1"/>
      <x:c r="G27" s="1"/>
    </x:row>
    <x:row r="28" ht="30" customHeight="1">
      <x:c r="B28" s="1" t="str">
        <x:v>Manyata completed area (sqft)</x:v>
      </x:c>
      <x:c r="C28" s="27" t="n">
        <x:v>14600000</x:v>
      </x:c>
      <x:c r="D28" s="25" t="str">
        <x:v>Q1 PDF p58; rounded reported figure</x:v>
      </x:c>
      <x:c r="E28" s="1"/>
      <x:c r="F28" s="1"/>
      <x:c r="G28" s="1"/>
    </x:row>
    <x:row r="29" ht="30" customHeight="1">
      <x:c r="B29" s="1" t="str">
        <x:v>Area occupancy</x:v>
      </x:c>
      <x:c r="C29" s="31" t="n">
        <x:v>0.93</x:v>
      </x:c>
      <x:c r="D29" s="25" t="str">
        <x:v>Q1 PDF p58</x:v>
      </x:c>
      <x:c r="E29" s="1"/>
      <x:c r="F29" s="1"/>
      <x:c r="G29" s="1"/>
    </x:row>
    <x:row r="30" ht="30" customHeight="1">
      <x:c r="B30" s="1" t="str">
        <x:v>In-place rent INR / sqft / month</x:v>
      </x:c>
      <x:c r="C30" s="27" t="n">
        <x:v>98</x:v>
      </x:c>
      <x:c r="D30" s="25" t="str">
        <x:v>Q1 PDF p58</x:v>
      </x:c>
      <x:c r="E30" s="1"/>
      <x:c r="F30" s="1"/>
      <x:c r="G30" s="1"/>
    </x:row>
    <x:row r="31" ht="30" customHeight="1">
      <x:c r="B31" s="1" t="str">
        <x:v>Market rent INR / sqft / month</x:v>
      </x:c>
      <x:c r="C31" s="27" t="n">
        <x:v>105</x:v>
      </x:c>
      <x:c r="D31" s="25" t="str">
        <x:v>Q1 PDF p58; issuer estimate, not transaction comp</x:v>
      </x:c>
      <x:c r="E31" s="1"/>
      <x:c r="F31" s="1"/>
      <x:c r="G31" s="1"/>
    </x:row>
    <x:row r="32" ht="30" customHeight="1">
      <x:c r="B32" s="1" t="str">
        <x:v>Quarter revenue (INR mn)</x:v>
      </x:c>
      <x:c r="C32" s="27" t="n">
        <x:v>4127</x:v>
      </x:c>
      <x:c r="D32" s="25" t="str">
        <x:v>Q1 PDF p63; office only</x:v>
      </x:c>
      <x:c r="E32" s="1"/>
      <x:c r="F32" s="1"/>
      <x:c r="G32" s="1"/>
    </x:row>
    <x:row r="33" ht="30" customHeight="1">
      <x:c r="B33" s="1" t="str">
        <x:v>Quarter NOI (INR mn)</x:v>
      </x:c>
      <x:c r="C33" s="27" t="n">
        <x:v>3492</x:v>
      </x:c>
      <x:c r="D33" s="25" t="str">
        <x:v>Q1 PDF p63; office only</x:v>
      </x:c>
      <x:c r="E33" s="1"/>
      <x:c r="F33" s="1"/>
      <x:c r="G33" s="1"/>
    </x:row>
    <x:row r="34" ht="30" customHeight="1">
      <x:c r="B34" s="1" t="str">
        <x:v>Completed office GAV (INR mn)</x:v>
      </x:c>
      <x:c r="C34" s="27" t="n">
        <x:v>242591</x:v>
      </x:c>
      <x:c r="D34" s="25" t="str">
        <x:v>Q1 PDF p58; valuation 31 March 2026</x:v>
      </x:c>
      <x:c r="E34" s="1"/>
      <x:c r="F34" s="1"/>
      <x:c r="G34" s="1"/>
    </x:row>
    <x:row r="35">
      <x:c r="B35" s="1"/>
      <x:c r="C35" s="28"/>
      <x:c r="D35" s="1"/>
      <x:c r="E35" s="1"/>
      <x:c r="F35" s="1"/>
      <x:c r="G35" s="1"/>
    </x:row>
    <x:row r="36">
      <x:c r="B36" s="1" t="str">
        <x:v>Occupied area proxy (sqft)</x:v>
      </x:c>
      <x:c r="C36" s="29" t="n">
        <x:f>C28*C29</x:f>
        <x:v>13578000</x:v>
      </x:c>
      <x:c r="D36" s="1"/>
      <x:c r="E36" s="1"/>
      <x:c r="F36" s="1"/>
      <x:c r="G36" s="1"/>
    </x:row>
    <x:row r="37">
      <x:c r="B37" s="1" t="str">
        <x:v>Annualised revenue (crore)</x:v>
      </x:c>
      <x:c r="C37" s="29" t="n">
        <x:f>C32*4/10</x:f>
        <x:v>1650.8</x:v>
      </x:c>
      <x:c r="D37" s="1"/>
      <x:c r="E37" s="1"/>
      <x:c r="F37" s="1"/>
      <x:c r="G37" s="1"/>
    </x:row>
    <x:row r="38">
      <x:c r="B38" s="1" t="str">
        <x:v>Annualised NOI (crore)</x:v>
      </x:c>
      <x:c r="C38" s="29" t="n">
        <x:f>C33*4/10</x:f>
        <x:v>1396.8</x:v>
      </x:c>
      <x:c r="D38" s="1"/>
      <x:c r="E38" s="1"/>
      <x:c r="F38" s="1"/>
      <x:c r="G38" s="1"/>
    </x:row>
    <x:row r="39">
      <x:c r="B39" s="1" t="str">
        <x:v>Gross rent proxy (crore)</x:v>
      </x:c>
      <x:c r="C39" s="29" t="n">
        <x:f>C36*C30*12/10000000</x:f>
        <x:v>1596.7728</x:v>
      </x:c>
      <x:c r="D39" s="1"/>
      <x:c r="E39" s="1"/>
      <x:c r="F39" s="1"/>
      <x:c r="G39" s="1"/>
    </x:row>
    <x:row r="40">
      <x:c r="B40" s="1" t="str">
        <x:v>Revenue / rent proxy residual (crore)</x:v>
      </x:c>
      <x:c r="C40" s="29" t="n">
        <x:f>C37-C39</x:f>
        <x:v>54.02719999999999</x:v>
      </x:c>
      <x:c r="D40" s="1"/>
      <x:c r="E40" s="1"/>
      <x:c r="F40" s="1"/>
      <x:c r="G40" s="1"/>
    </x:row>
    <x:row r="41">
      <x:c r="B41" s="1" t="str">
        <x:v>Net expense proxy (crore)</x:v>
      </x:c>
      <x:c r="C41" s="29" t="n">
        <x:f>C39-C38</x:f>
        <x:v>199.9728</x:v>
      </x:c>
      <x:c r="D41" s="1"/>
      <x:c r="E41" s="1"/>
      <x:c r="F41" s="1"/>
      <x:c r="G41" s="1"/>
    </x:row>
    <x:row r="42">
      <x:c r="B42" s="1" t="str">
        <x:v>Net expense / occupied sqft / year</x:v>
      </x:c>
      <x:c r="C42" s="29" t="n">
        <x:f>C41*10000000/C36</x:f>
        <x:v>147.2770658418029</x:v>
      </x:c>
      <x:c r="D42" s="1"/>
      <x:c r="E42" s="1"/>
      <x:c r="F42" s="1"/>
      <x:c r="G42" s="1"/>
    </x:row>
    <x:row r="43">
      <x:c r="B43" s="1" t="str">
        <x:v>Annualised NOI / completed GAV</x:v>
      </x:c>
      <x:c r="C43" s="30" t="n">
        <x:f>C38/(C34/10)</x:f>
        <x:v>0.057578393262734395</x:v>
      </x:c>
      <x:c r="D43" s="1"/>
      <x:c r="E43" s="1"/>
      <x:c r="F43" s="1"/>
      <x:c r="G43" s="1"/>
    </x:row>
    <x:row r="44">
      <x:c r="B44" s="1"/>
      <x:c r="C44" s="1"/>
      <x:c r="D44" s="1"/>
      <x:c r="E44" s="1"/>
      <x:c r="F44" s="1"/>
      <x:c r="G44" s="1"/>
    </x:row>
    <x:row r="45" ht="32" customHeight="1">
      <x:c r="B45" s="25" t="str">
        <x:v>Q1 source: Embassy REIT, filed 30 July 2026</x:v>
      </x:c>
      <x:c r="C45" s="1"/>
      <x:c r="D45" s="1"/>
      <x:c r="E45" s="1"/>
      <x:c r="F45" s="1"/>
      <x:c r="G45" s="1"/>
    </x:row>
    <x:row r="46" ht="32" customHeight="1">
      <x:c r="B46" s="25" t="str">
        <x:v>https://www.embassyofficeparks.com/wp-content/uploads/2026/09/se_filing_-__press_release_and_earnings_presentation.pdf</x:v>
      </x:c>
      <x:c r="C46" s="1"/>
      <x:c r="D46" s="1"/>
      <x:c r="E46" s="1"/>
      <x:c r="F46" s="1"/>
      <x:c r="G46" s="1"/>
    </x:row>
    <x:row r="47" ht="32" customHeight="1">
      <x:c r="B47" s="25"/>
      <x:c r="C47" s="1"/>
      <x:c r="D47" s="1"/>
      <x:c r="E47" s="1"/>
      <x:c r="F47" s="1"/>
      <x:c r="G47" s="1"/>
    </x:row>
    <x:row r="48" ht="32" customHeight="1">
      <x:c r="B48" s="25" t="str">
        <x:v>FY26 source: Embassy REIT, filed 27 April 2026</x:v>
      </x:c>
      <x:c r="C48" s="1"/>
      <x:c r="D48" s="1"/>
      <x:c r="E48" s="1"/>
      <x:c r="F48" s="1"/>
      <x:c r="G48" s="1"/>
    </x:row>
    <x:row r="49" ht="32" customHeight="1">
      <x:c r="B49" s="25" t="str">
        <x:v>https://www.embassyofficeparks.com/wp-content/uploads/2026/06/press_release__-_final.pdf</x:v>
      </x:c>
      <x:c r="C49" s="1"/>
      <x:c r="D49" s="1"/>
      <x:c r="E49" s="1"/>
      <x:c r="F49" s="1"/>
      <x:c r="G49" s="1"/>
    </x:row>
    <x:row r="50" ht="32" customHeight="1">
      <x:c r="B50" s="25"/>
      <x:c r="C50" s="1"/>
      <x:c r="D50" s="1"/>
      <x:c r="E50" s="1"/>
      <x:c r="F50" s="1"/>
      <x:c r="G50" s="1"/>
    </x:row>
    <x:row r="51" ht="32" customHeight="1">
      <x:c r="B51" s="25" t="str">
        <x:v>All source URLs accessed 2026-10-22. Page numbers are PDF pages, not slide numbers.</x:v>
      </x:c>
      <x:c r="C51" s="1"/>
      <x:c r="D51" s="1"/>
      <x:c r="E51" s="1"/>
      <x:c r="F51" s="1"/>
      <x:c r="G51" s="1"/>
    </x:row>
    <x:row r="52" ht="32" customHeight="1">
      <x:c r="B52" s="25" t="str">
        <x:v>March NAV and June price are different dates: discount is a historical comparison, not current NAV.</x:v>
      </x:c>
      <x:c r="C52" s="1"/>
      <x:c r="D52" s="1"/>
      <x:c r="E52" s="1"/>
      <x:c r="F52" s="1"/>
      <x:c r="G52" s="1"/>
    </x:row>
    <x:row r="53" ht="32" customHeight="1">
      <x:c r="B53" s="25" t="str">
        <x:v>Annualisation x4 is an analyst assumption, not a forecast supplied by the issuer.</x:v>
      </x:c>
      <x:c r="C53" s="1"/>
      <x:c r="D53" s="1"/>
      <x:c r="E53" s="1"/>
      <x:c r="F53" s="1"/>
      <x:c r="G53" s="1"/>
    </x:row>
    <x:row r="54" ht="32" customHeight="1">
      <x:c r="B54" s="25" t="str">
        <x:v>Net expense proxy bridges rent proxy to annualised NOI; it is not reported gross operating expense.</x:v>
      </x:c>
      <x:c r="C54" s="1"/>
      <x:c r="D54" s="1"/>
      <x:c r="E54" s="1"/>
      <x:c r="F54" s="1"/>
      <x:c r="G54" s="1"/>
    </x:row>
    <x:row r="55" ht="32" customHeight="1">
      <x:c r="B55" s="25" t="str">
        <x:v>INR 1 crore = INR 10 million. June net-debt bridge has INR 1 million displayed rounding residual.</x:v>
      </x:c>
      <x:c r="C55" s="1"/>
      <x:c r="D55" s="1"/>
      <x:c r="E55" s="1"/>
      <x:c r="F55" s="1"/>
      <x:c r="G55" s="1"/>
    </x:row>
    <x:row r="56" ht="32" customHeight="1">
      <x:c r="B56" s="25" t="str">
        <x:v>No hotel, development or vacant-space lease-up cash flows included in the acquisition case.</x:v>
      </x:c>
      <x:c r="C56" s="1"/>
      <x:c r="D56" s="1"/>
      <x:c r="E56" s="1"/>
      <x:c r="F56" s="1"/>
      <x:c r="G56" s="1"/>
    </x:row>
    <x:row r="57">
      <x:c r="B57" s="1"/>
      <x:c r="C57" s="1"/>
      <x:c r="D57" s="1"/>
      <x:c r="E57" s="1"/>
      <x:c r="F57" s="1"/>
      <x:c r="G57" s="1"/>
    </x:row>
    <x:row r="58">
      <x:c r="B58" s="1"/>
      <x:c r="C58" s="1"/>
      <x:c r="D58" s="1"/>
      <x:c r="E58" s="1"/>
      <x:c r="F58" s="1"/>
      <x:c r="G58" s="1"/>
    </x:row>
    <x:row r="59">
      <x:c r="B59" s="1"/>
      <x:c r="C59" s="1"/>
      <x:c r="D59" s="1"/>
      <x:c r="E59" s="1"/>
      <x:c r="F59" s="1"/>
      <x:c r="G59" s="1"/>
    </x:row>
    <x:row r="60">
      <x:c r="B60" s="1"/>
      <x:c r="C60" s="1"/>
      <x:c r="D60" s="1"/>
      <x:c r="E60" s="1"/>
      <x:c r="F60" s="1"/>
      <x:c r="G60" s="1"/>
    </x:row>
  </x:sheetData>
  <x:mergeCells>
    <x:mergeCell ref="B45:G45"/>
    <x:mergeCell ref="B46:G46"/>
    <x:mergeCell ref="B47:G47"/>
    <x:mergeCell ref="B48:G48"/>
    <x:mergeCell ref="B49:G49"/>
    <x:mergeCell ref="B50:G50"/>
    <x:mergeCell ref="B51:G51"/>
    <x:mergeCell ref="B52:G52"/>
    <x:mergeCell ref="B53:G53"/>
    <x:mergeCell ref="B54:G54"/>
    <x:mergeCell ref="B55:G55"/>
    <x:mergeCell ref="B56:G56"/>
  </x:mergeCells>
  <x:pageMargins left="0.7" right="0.7" top="0.75" bottom="0.75" header="0.3" footer="0.3"/>
</x:worksheet>
</file>